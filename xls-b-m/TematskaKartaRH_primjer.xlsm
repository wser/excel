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laden Backups\Documents\Excel\Excelancije2\"/>
    </mc:Choice>
  </mc:AlternateContent>
  <bookViews>
    <workbookView xWindow="0" yWindow="0" windowWidth="25200" windowHeight="11985"/>
  </bookViews>
  <sheets>
    <sheet name="Karta" sheetId="5" r:id="rId1"/>
    <sheet name="Model" sheetId="2" r:id="rId2"/>
    <sheet name="Data" sheetId="3" r:id="rId3"/>
  </sheets>
  <definedNames>
    <definedName name="actReg">Model!$D$8</definedName>
    <definedName name="actRegCode">Model!$D$10</definedName>
    <definedName name="actRegValue">Model!$D$9</definedName>
    <definedName name="cls_0">Model!$B$1</definedName>
    <definedName name="cls_1">Model!$B$2</definedName>
    <definedName name="cls_2">Model!$B$3</definedName>
    <definedName name="cls_3">Model!$B$4</definedName>
    <definedName name="cls_4">Model!$B$5</definedName>
    <definedName name="cls_5">Model!$B$6</definedName>
    <definedName name="cls_Values">Model!$E$2:$F$6</definedName>
    <definedName name="data">Data!$B$1:$J$22</definedName>
    <definedName name="data1">Data!$C$1:$J$22</definedName>
    <definedName name="Lista">Data!$L$2:$L$8</definedName>
    <definedName name="_xlnm.Print_Area" localSheetId="0">Karta!$B$2:$M$31</definedName>
    <definedName name="RegData">Model!$H$1:$I$22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5" l="1"/>
  <c r="L19" i="5"/>
  <c r="L11" i="5"/>
  <c r="L9" i="5"/>
  <c r="L17" i="5"/>
  <c r="L27" i="5"/>
  <c r="L18" i="5"/>
  <c r="L20" i="5"/>
  <c r="L15" i="5"/>
  <c r="L28" i="5"/>
  <c r="L25" i="5"/>
  <c r="L26" i="5"/>
  <c r="L13" i="5"/>
  <c r="L10" i="5"/>
  <c r="L23" i="5"/>
  <c r="L16" i="5"/>
  <c r="L14" i="5"/>
  <c r="L21" i="5"/>
  <c r="L12" i="5"/>
  <c r="L24" i="5"/>
  <c r="L22" i="5"/>
  <c r="B29" i="5" l="1"/>
  <c r="B28" i="5"/>
  <c r="L7" i="5"/>
  <c r="E2" i="2" a="1"/>
  <c r="E4" i="2" s="1"/>
  <c r="C2" i="2" a="1"/>
  <c r="C2" i="2" s="1"/>
  <c r="J17" i="5" s="1"/>
  <c r="I2" i="2" a="1"/>
  <c r="I2" i="2" s="1"/>
  <c r="M22" i="5" l="1"/>
  <c r="E6" i="2"/>
  <c r="E5" i="2"/>
  <c r="E3" i="2"/>
  <c r="E2" i="2"/>
  <c r="C4" i="2"/>
  <c r="J19" i="5" s="1"/>
  <c r="C3" i="2"/>
  <c r="J18" i="5" s="1"/>
  <c r="C5" i="2"/>
  <c r="J20" i="5" s="1"/>
  <c r="C6" i="2"/>
  <c r="J21" i="5" s="1"/>
  <c r="I15" i="2"/>
  <c r="I11" i="2"/>
  <c r="I7" i="2"/>
  <c r="I22" i="2"/>
  <c r="I18" i="2"/>
  <c r="I14" i="2"/>
  <c r="I10" i="2"/>
  <c r="I6" i="2"/>
  <c r="I21" i="2"/>
  <c r="I17" i="2"/>
  <c r="I13" i="2"/>
  <c r="I9" i="2"/>
  <c r="I5" i="2"/>
  <c r="I20" i="2"/>
  <c r="I16" i="2"/>
  <c r="I12" i="2"/>
  <c r="I8" i="2"/>
  <c r="I4" i="2"/>
  <c r="I19" i="2"/>
  <c r="I3" i="2"/>
  <c r="M24" i="5" l="1"/>
  <c r="M9" i="5"/>
  <c r="M18" i="5"/>
  <c r="M28" i="5"/>
  <c r="M13" i="5"/>
  <c r="M16" i="5"/>
  <c r="M12" i="5"/>
  <c r="M11" i="5"/>
  <c r="M27" i="5"/>
  <c r="M15" i="5"/>
  <c r="M26" i="5"/>
  <c r="M23" i="5"/>
  <c r="M21" i="5"/>
  <c r="M19" i="5"/>
  <c r="M17" i="5"/>
  <c r="M20" i="5"/>
  <c r="M25" i="5"/>
  <c r="M10" i="5"/>
  <c r="M14" i="5"/>
  <c r="M8" i="5"/>
  <c r="D9" i="2"/>
  <c r="D10" i="2" s="1"/>
</calcChain>
</file>

<file path=xl/sharedStrings.xml><?xml version="1.0" encoding="utf-8"?>
<sst xmlns="http://schemas.openxmlformats.org/spreadsheetml/2006/main" count="192" uniqueCount="132">
  <si>
    <t>cls_1</t>
  </si>
  <si>
    <t>cls_2</t>
  </si>
  <si>
    <t>cls_3</t>
  </si>
  <si>
    <t>cls_4</t>
  </si>
  <si>
    <t>cls_5</t>
  </si>
  <si>
    <t>Active Reg:</t>
  </si>
  <si>
    <t>actReg</t>
  </si>
  <si>
    <t>Value:</t>
  </si>
  <si>
    <t>Code:</t>
  </si>
  <si>
    <t>Grad Zagreb</t>
  </si>
  <si>
    <t>Županija</t>
  </si>
  <si>
    <t>Zagrebačka_županija</t>
  </si>
  <si>
    <t>Karlovačka_županija</t>
  </si>
  <si>
    <t>Varaždinska_županija</t>
  </si>
  <si>
    <t>Zadarska_županija</t>
  </si>
  <si>
    <t>Istarska_županija</t>
  </si>
  <si>
    <t>Međimurska_županija</t>
  </si>
  <si>
    <t>Grad_Zagreb</t>
  </si>
  <si>
    <t>Krapinsko_zagorska_županija</t>
  </si>
  <si>
    <t>Sisačko_moslavačka_županija</t>
  </si>
  <si>
    <t>Koprivničko_križevačka_županija</t>
  </si>
  <si>
    <t>Bjelovarsko_bilogorska_županija</t>
  </si>
  <si>
    <t>Primorsko_goranska_županija</t>
  </si>
  <si>
    <t>Ličko_senjska_županija</t>
  </si>
  <si>
    <t>Virovitičko_podravska_županija</t>
  </si>
  <si>
    <t>Požeško_slavonska_županija</t>
  </si>
  <si>
    <t>Brodsko_posavska_županija</t>
  </si>
  <si>
    <t>Osječko_baranjska_županija</t>
  </si>
  <si>
    <t>Šibensko_kninska_županija</t>
  </si>
  <si>
    <t>Vukovarsko_srijemska_županija</t>
  </si>
  <si>
    <t>Splitsko_dalmatinska_županija</t>
  </si>
  <si>
    <t>Dubrovačko_neretvanska_županija</t>
  </si>
  <si>
    <t>data</t>
  </si>
  <si>
    <t>Broj stanovnika</t>
  </si>
  <si>
    <t>Broj naselja</t>
  </si>
  <si>
    <t>Zagrebačka</t>
  </si>
  <si>
    <t>Krapinsko-zagorska</t>
  </si>
  <si>
    <t>Sisačko-moslavačka</t>
  </si>
  <si>
    <t>Karlovačka</t>
  </si>
  <si>
    <t>Varaždinska</t>
  </si>
  <si>
    <t>Koprivničko-križevačka</t>
  </si>
  <si>
    <t>Bjelovarsko-bilogorska</t>
  </si>
  <si>
    <t>Primorsko-goranska</t>
  </si>
  <si>
    <t>Ličko-senjska</t>
  </si>
  <si>
    <t>Virovitičko-podravska</t>
  </si>
  <si>
    <t>Požeško-slavonska</t>
  </si>
  <si>
    <t>Brodsko-posavska</t>
  </si>
  <si>
    <t>Zadarska</t>
  </si>
  <si>
    <t>Osječko-baranjska</t>
  </si>
  <si>
    <t>Šibensko-kninska</t>
  </si>
  <si>
    <t>Vukovarsko-srijemska</t>
  </si>
  <si>
    <t>Splitsko-dalmatinska</t>
  </si>
  <si>
    <t>Istarska</t>
  </si>
  <si>
    <t>Dubrovačko-neretvanska</t>
  </si>
  <si>
    <t>Međimurska</t>
  </si>
  <si>
    <t>Županija_name</t>
  </si>
  <si>
    <t>Broj stanovnika na km2</t>
  </si>
  <si>
    <t>Redni broj</t>
  </si>
  <si>
    <t>Broj tvrtki</t>
  </si>
  <si>
    <t>Prosječna neto plaća</t>
  </si>
  <si>
    <t>Prosječna stopa nezaposlenosti</t>
  </si>
  <si>
    <t>Prosječna stopa nezaposlenosti u 2012</t>
  </si>
  <si>
    <t>100.000-200.000</t>
  </si>
  <si>
    <t>200.000-300.000</t>
  </si>
  <si>
    <t>&gt;500.000</t>
  </si>
  <si>
    <t>25-50</t>
  </si>
  <si>
    <t>100-200</t>
  </si>
  <si>
    <t>&gt;200</t>
  </si>
  <si>
    <t>&gt;500</t>
  </si>
  <si>
    <t>200-300</t>
  </si>
  <si>
    <t>4.000-4.500</t>
  </si>
  <si>
    <t>4.500-5.000</t>
  </si>
  <si>
    <t>5.000-5.500</t>
  </si>
  <si>
    <t>&gt;5.500</t>
  </si>
  <si>
    <t>&lt;10%</t>
  </si>
  <si>
    <t>20-25%</t>
  </si>
  <si>
    <t>25-30%</t>
  </si>
  <si>
    <t>&gt;30%</t>
  </si>
  <si>
    <t>List</t>
  </si>
  <si>
    <t>Leganda</t>
  </si>
  <si>
    <t>clsV</t>
  </si>
  <si>
    <t>actRegCode</t>
  </si>
  <si>
    <t>actRegValue</t>
  </si>
  <si>
    <t>List Value:</t>
  </si>
  <si>
    <t>300.000-500.000</t>
  </si>
  <si>
    <t>50-100</t>
  </si>
  <si>
    <t>300-500</t>
  </si>
  <si>
    <t>&lt;4.000</t>
  </si>
  <si>
    <t>10-20%</t>
  </si>
  <si>
    <t>Legenda:</t>
  </si>
  <si>
    <t>num_format</t>
  </si>
  <si>
    <t>#.###</t>
  </si>
  <si>
    <t>0,0%</t>
  </si>
  <si>
    <t>#.##0,00</t>
  </si>
  <si>
    <t>Odaberite pokazatelj:</t>
  </si>
  <si>
    <t>Izvor:</t>
  </si>
  <si>
    <t>HGK - Županijska komora Čakovec - Pregled gospodarskih kretanja I.IX 2012.</t>
  </si>
  <si>
    <t>HZZ - Godišnjak 2012.</t>
  </si>
  <si>
    <t>*) Izvor podataka:</t>
  </si>
  <si>
    <t>BDP po glavi stanovnika (u kunama)</t>
  </si>
  <si>
    <t>45.000-60.000</t>
  </si>
  <si>
    <t>60.000-75.000</t>
  </si>
  <si>
    <t>75.000-90.000</t>
  </si>
  <si>
    <t>&gt;90.000</t>
  </si>
  <si>
    <t>Podaci za 2010. godinu</t>
  </si>
  <si>
    <t>DZS - Bruto domaći proizvod za RH te prostorne jedinice za statistiku 2. i 3. razine</t>
  </si>
  <si>
    <t>STANOVNIŠTVO, BDP, PROSJEČNA PLAĆA I STOPA NEZAPOSLENOSTI PO ŽUPANIJAMA</t>
  </si>
  <si>
    <t>DZS</t>
  </si>
  <si>
    <t xml:space="preserve">Podaci od popisa stanovništva iz 2011. godine </t>
  </si>
  <si>
    <t>Prosjeci za 2012. godinu</t>
  </si>
  <si>
    <t>Podaci za razdoblje I-IX/2012.</t>
  </si>
  <si>
    <t>www.excelancije.net</t>
  </si>
  <si>
    <t>Lista</t>
  </si>
  <si>
    <t>2.500-5.000</t>
  </si>
  <si>
    <t>5.000-7.500</t>
  </si>
  <si>
    <t>7.500-10.000</t>
  </si>
  <si>
    <t>&gt;10.000</t>
  </si>
  <si>
    <t>&lt;100.000</t>
  </si>
  <si>
    <t>&lt;25</t>
  </si>
  <si>
    <t>&lt;100</t>
  </si>
  <si>
    <t>&lt;2.500</t>
  </si>
  <si>
    <t>&lt;45.000</t>
  </si>
  <si>
    <t>Prosječna neto plaća (kn)</t>
  </si>
  <si>
    <t>BDP po glavi stanovnika (kn)</t>
  </si>
  <si>
    <t>Broj stanovnika:</t>
  </si>
  <si>
    <t>Broj naselja:</t>
  </si>
  <si>
    <t>Broj tvrtki:</t>
  </si>
  <si>
    <t>Stopa nezaposlenosti:</t>
  </si>
  <si>
    <t>Ukupno za RH</t>
  </si>
  <si>
    <r>
      <t>Stanovnika/km</t>
    </r>
    <r>
      <rPr>
        <vertAlign val="superscript"/>
        <sz val="10"/>
        <color theme="4" tint="-0.499984740745262"/>
        <rFont val="Segoe UI"/>
        <family val="2"/>
        <charset val="238"/>
      </rPr>
      <t>2</t>
    </r>
  </si>
  <si>
    <t>Prosječna neto plaća (kn):</t>
  </si>
  <si>
    <t>BDP po stanovniku (kn):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</si>
</sst>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\."/>
    <numFmt numFmtId="165" formatCode="0.0%"/>
    <numFmt numFmtId="166" formatCode=";;;"/>
  </numFmts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theme="4" tint="-0.249977111117893"/>
      <name val="Calibri Light"/>
      <family val="2"/>
      <charset val="238"/>
      <scheme val="major"/>
    </font>
    <font>
      <u/>
      <sz val="11"/>
      <color theme="10"/>
      <name val="Calibri"/>
      <family val="2"/>
      <charset val="238"/>
      <scheme val="minor"/>
    </font>
    <font>
      <b/>
      <sz val="18"/>
      <color theme="4" tint="-0.499984740745262"/>
      <name val="Tw Cen MT"/>
      <family val="2"/>
      <charset val="238"/>
    </font>
    <font>
      <b/>
      <sz val="11"/>
      <color theme="4" tint="-0.499984740745262"/>
      <name val="Segoe UI"/>
      <family val="2"/>
      <charset val="238"/>
    </font>
    <font>
      <u/>
      <sz val="14"/>
      <color theme="4" tint="-0.249977111117893"/>
      <name val="Segoe UI Semibold"/>
      <family val="2"/>
      <charset val="238"/>
    </font>
    <font>
      <b/>
      <u/>
      <sz val="11"/>
      <color theme="4" tint="-0.499984740745262"/>
      <name val="Calibri"/>
      <family val="2"/>
      <charset val="238"/>
      <scheme val="minor"/>
    </font>
    <font>
      <sz val="10"/>
      <color theme="4" tint="-0.499984740745262"/>
      <name val="Segoe UI"/>
      <family val="2"/>
      <charset val="238"/>
    </font>
    <font>
      <vertAlign val="superscript"/>
      <sz val="10"/>
      <color theme="4" tint="-0.499984740745262"/>
      <name val="Segoe UI"/>
      <family val="2"/>
      <charset val="238"/>
    </font>
    <font>
      <sz val="9"/>
      <color theme="4" tint="-0.499984740745262"/>
      <name val="Segoe UI"/>
      <family val="2"/>
      <charset val="238"/>
    </font>
    <font>
      <sz val="11"/>
      <color theme="4" tint="-0.499984740745262"/>
      <name val="Calibri"/>
      <family val="2"/>
      <charset val="238"/>
      <scheme val="minor"/>
    </font>
    <font>
      <sz val="9"/>
      <color theme="3" tint="0.39997558519241921"/>
      <name val="Segoe UI"/>
      <family val="2"/>
      <charset val="238"/>
    </font>
    <font>
      <b/>
      <sz val="9"/>
      <color theme="3" tint="0.39997558519241921"/>
      <name val="Segoe UI"/>
      <family val="2"/>
      <charset val="238"/>
    </font>
    <font>
      <b/>
      <sz val="10"/>
      <color theme="4" tint="-0.499984740745262"/>
      <name val="Segoe UI"/>
      <family val="2"/>
      <charset val="238"/>
    </font>
    <font>
      <b/>
      <sz val="10"/>
      <color theme="4" tint="-0.499984740745262"/>
      <name val="Segoe UI Semilight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3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/>
      <right/>
      <top/>
      <bottom style="thin">
        <color theme="4" tint="-0.499984740745262"/>
      </bottom>
      <diagonal/>
    </border>
    <border>
      <left/>
      <right/>
      <top style="medium">
        <color theme="3"/>
      </top>
      <bottom/>
      <diagonal/>
    </border>
    <border>
      <left/>
      <right/>
      <top/>
      <bottom style="thin">
        <color theme="3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Border="1" applyAlignment="1">
      <alignment vertical="top" wrapText="1"/>
    </xf>
    <xf numFmtId="3" fontId="3" fillId="0" borderId="0" xfId="0" applyNumberFormat="1" applyFont="1" applyBorder="1" applyAlignment="1">
      <alignment vertical="top" wrapText="1"/>
    </xf>
    <xf numFmtId="164" fontId="0" fillId="0" borderId="0" xfId="0" applyNumberForma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5" fontId="0" fillId="0" borderId="0" xfId="1" applyNumberFormat="1" applyFont="1"/>
    <xf numFmtId="0" fontId="0" fillId="0" borderId="0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3" fillId="0" borderId="0" xfId="0" applyFont="1" applyFill="1" applyBorder="1" applyAlignment="1">
      <alignment vertical="top" wrapText="1"/>
    </xf>
    <xf numFmtId="0" fontId="0" fillId="0" borderId="0" xfId="0" applyNumberFormat="1"/>
    <xf numFmtId="0" fontId="4" fillId="0" borderId="0" xfId="0" applyFont="1" applyAlignment="1">
      <alignment vertical="center"/>
    </xf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7" fillId="0" borderId="0" xfId="0" applyFont="1" applyAlignment="1">
      <alignment vertical="center"/>
    </xf>
    <xf numFmtId="0" fontId="8" fillId="0" borderId="0" xfId="0" applyFont="1"/>
    <xf numFmtId="0" fontId="0" fillId="0" borderId="0" xfId="0" applyBorder="1"/>
    <xf numFmtId="0" fontId="0" fillId="0" borderId="5" xfId="0" applyBorder="1"/>
    <xf numFmtId="0" fontId="10" fillId="0" borderId="0" xfId="0" applyFont="1"/>
    <xf numFmtId="3" fontId="10" fillId="0" borderId="0" xfId="0" applyNumberFormat="1" applyFont="1"/>
    <xf numFmtId="4" fontId="10" fillId="0" borderId="0" xfId="0" applyNumberFormat="1" applyFont="1"/>
    <xf numFmtId="0" fontId="12" fillId="0" borderId="0" xfId="0" applyFont="1"/>
    <xf numFmtId="3" fontId="13" fillId="0" borderId="0" xfId="0" applyNumberFormat="1" applyFont="1" applyAlignment="1">
      <alignment horizontal="right" indent="1"/>
    </xf>
    <xf numFmtId="0" fontId="12" fillId="0" borderId="0" xfId="0" applyFont="1" applyBorder="1"/>
    <xf numFmtId="3" fontId="13" fillId="0" borderId="0" xfId="0" applyNumberFormat="1" applyFont="1" applyBorder="1" applyAlignment="1">
      <alignment horizontal="right" indent="1"/>
    </xf>
    <xf numFmtId="0" fontId="12" fillId="0" borderId="4" xfId="0" applyFont="1" applyBorder="1"/>
    <xf numFmtId="3" fontId="13" fillId="0" borderId="4" xfId="0" applyNumberFormat="1" applyFont="1" applyBorder="1" applyAlignment="1">
      <alignment horizontal="right" indent="1"/>
    </xf>
    <xf numFmtId="0" fontId="6" fillId="7" borderId="0" xfId="0" applyFont="1" applyFill="1" applyAlignment="1">
      <alignment horizontal="centerContinuous"/>
    </xf>
    <xf numFmtId="0" fontId="0" fillId="7" borderId="0" xfId="0" applyFill="1" applyAlignment="1">
      <alignment horizontal="centerContinuous"/>
    </xf>
    <xf numFmtId="166" fontId="13" fillId="0" borderId="0" xfId="0" applyNumberFormat="1" applyFont="1"/>
    <xf numFmtId="166" fontId="13" fillId="0" borderId="0" xfId="0" applyNumberFormat="1" applyFont="1" applyBorder="1"/>
    <xf numFmtId="166" fontId="13" fillId="0" borderId="4" xfId="0" applyNumberFormat="1" applyFont="1" applyBorder="1"/>
    <xf numFmtId="0" fontId="14" fillId="0" borderId="0" xfId="0" applyFont="1"/>
    <xf numFmtId="0" fontId="10" fillId="0" borderId="0" xfId="0" applyFont="1" applyBorder="1"/>
    <xf numFmtId="3" fontId="10" fillId="0" borderId="0" xfId="0" applyNumberFormat="1" applyFont="1" applyBorder="1"/>
    <xf numFmtId="0" fontId="15" fillId="0" borderId="6" xfId="0" applyFont="1" applyBorder="1"/>
    <xf numFmtId="0" fontId="0" fillId="0" borderId="6" xfId="0" applyBorder="1"/>
    <xf numFmtId="0" fontId="12" fillId="0" borderId="0" xfId="0" applyFont="1" applyAlignment="1">
      <alignment horizontal="left" indent="1"/>
    </xf>
    <xf numFmtId="0" fontId="16" fillId="0" borderId="4" xfId="0" applyFont="1" applyFill="1" applyBorder="1"/>
    <xf numFmtId="0" fontId="13" fillId="0" borderId="4" xfId="0" applyFont="1" applyFill="1" applyBorder="1"/>
    <xf numFmtId="0" fontId="10" fillId="0" borderId="4" xfId="0" applyFont="1" applyBorder="1"/>
    <xf numFmtId="165" fontId="10" fillId="0" borderId="4" xfId="1" applyNumberFormat="1" applyFont="1" applyBorder="1"/>
    <xf numFmtId="0" fontId="17" fillId="0" borderId="4" xfId="0" applyFont="1" applyFill="1" applyBorder="1" applyAlignment="1">
      <alignment horizontal="center" wrapText="1"/>
    </xf>
    <xf numFmtId="0" fontId="7" fillId="0" borderId="0" xfId="0" applyFont="1" applyAlignment="1">
      <alignment horizontal="left" vertical="center"/>
    </xf>
    <xf numFmtId="0" fontId="17" fillId="0" borderId="4" xfId="0" applyFont="1" applyFill="1" applyBorder="1" applyAlignment="1">
      <alignment horizontal="center" wrapText="1"/>
    </xf>
    <xf numFmtId="0" fontId="9" fillId="0" borderId="3" xfId="2" applyFont="1" applyBorder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Model!$D$11" fmlaRange="Lista" noThreeD="1" sel="5" val="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372737</xdr:colOff>
      <xdr:row>5</xdr:row>
      <xdr:rowOff>71948</xdr:rowOff>
    </xdr:from>
    <xdr:to>
      <xdr:col>7</xdr:col>
      <xdr:colOff>2745</xdr:colOff>
      <xdr:row>6</xdr:row>
      <xdr:rowOff>189032</xdr:rowOff>
    </xdr:to>
    <xdr:sp macro="" textlink="">
      <xdr:nvSpPr>
        <xdr:cNvPr id="3" name="Međimurska_županija"/>
        <xdr:cNvSpPr/>
      </xdr:nvSpPr>
      <xdr:spPr>
        <a:xfrm>
          <a:off x="4249412" y="1110173"/>
          <a:ext cx="496783" cy="307584"/>
        </a:xfrm>
        <a:custGeom>
          <a:avLst/>
          <a:gdLst>
            <a:gd name="connsiteX0" fmla="*/ 59872 w 729343"/>
            <a:gd name="connsiteY0" fmla="*/ 266700 h 451757"/>
            <a:gd name="connsiteX1" fmla="*/ 59872 w 729343"/>
            <a:gd name="connsiteY1" fmla="*/ 266700 h 451757"/>
            <a:gd name="connsiteX2" fmla="*/ 76200 w 729343"/>
            <a:gd name="connsiteY2" fmla="*/ 310243 h 451757"/>
            <a:gd name="connsiteX3" fmla="*/ 108858 w 729343"/>
            <a:gd name="connsiteY3" fmla="*/ 332015 h 451757"/>
            <a:gd name="connsiteX4" fmla="*/ 114300 w 729343"/>
            <a:gd name="connsiteY4" fmla="*/ 348343 h 451757"/>
            <a:gd name="connsiteX5" fmla="*/ 146958 w 729343"/>
            <a:gd name="connsiteY5" fmla="*/ 370115 h 451757"/>
            <a:gd name="connsiteX6" fmla="*/ 157843 w 729343"/>
            <a:gd name="connsiteY6" fmla="*/ 386443 h 451757"/>
            <a:gd name="connsiteX7" fmla="*/ 190500 w 729343"/>
            <a:gd name="connsiteY7" fmla="*/ 408215 h 451757"/>
            <a:gd name="connsiteX8" fmla="*/ 195943 w 729343"/>
            <a:gd name="connsiteY8" fmla="*/ 424543 h 451757"/>
            <a:gd name="connsiteX9" fmla="*/ 234043 w 729343"/>
            <a:gd name="connsiteY9" fmla="*/ 424543 h 451757"/>
            <a:gd name="connsiteX10" fmla="*/ 348343 w 729343"/>
            <a:gd name="connsiteY10" fmla="*/ 419100 h 451757"/>
            <a:gd name="connsiteX11" fmla="*/ 391886 w 729343"/>
            <a:gd name="connsiteY11" fmla="*/ 386443 h 451757"/>
            <a:gd name="connsiteX12" fmla="*/ 451758 w 729343"/>
            <a:gd name="connsiteY12" fmla="*/ 435429 h 451757"/>
            <a:gd name="connsiteX13" fmla="*/ 582386 w 729343"/>
            <a:gd name="connsiteY13" fmla="*/ 391886 h 451757"/>
            <a:gd name="connsiteX14" fmla="*/ 620486 w 729343"/>
            <a:gd name="connsiteY14" fmla="*/ 435429 h 451757"/>
            <a:gd name="connsiteX15" fmla="*/ 664029 w 729343"/>
            <a:gd name="connsiteY15" fmla="*/ 451757 h 451757"/>
            <a:gd name="connsiteX16" fmla="*/ 729343 w 729343"/>
            <a:gd name="connsiteY16" fmla="*/ 359229 h 451757"/>
            <a:gd name="connsiteX17" fmla="*/ 658586 w 729343"/>
            <a:gd name="connsiteY17" fmla="*/ 272143 h 451757"/>
            <a:gd name="connsiteX18" fmla="*/ 571500 w 729343"/>
            <a:gd name="connsiteY18" fmla="*/ 293915 h 451757"/>
            <a:gd name="connsiteX19" fmla="*/ 484415 w 729343"/>
            <a:gd name="connsiteY19" fmla="*/ 136072 h 451757"/>
            <a:gd name="connsiteX20" fmla="*/ 136072 w 729343"/>
            <a:gd name="connsiteY20" fmla="*/ 0 h 451757"/>
            <a:gd name="connsiteX21" fmla="*/ 141515 w 729343"/>
            <a:gd name="connsiteY21" fmla="*/ 5443 h 451757"/>
            <a:gd name="connsiteX22" fmla="*/ 0 w 729343"/>
            <a:gd name="connsiteY22" fmla="*/ 146957 h 451757"/>
            <a:gd name="connsiteX23" fmla="*/ 59872 w 729343"/>
            <a:gd name="connsiteY23" fmla="*/ 266700 h 451757"/>
            <a:gd name="connsiteX0" fmla="*/ 59872 w 729343"/>
            <a:gd name="connsiteY0" fmla="*/ 268400 h 453457"/>
            <a:gd name="connsiteX1" fmla="*/ 59872 w 729343"/>
            <a:gd name="connsiteY1" fmla="*/ 268400 h 453457"/>
            <a:gd name="connsiteX2" fmla="*/ 76200 w 729343"/>
            <a:gd name="connsiteY2" fmla="*/ 311943 h 453457"/>
            <a:gd name="connsiteX3" fmla="*/ 108858 w 729343"/>
            <a:gd name="connsiteY3" fmla="*/ 333715 h 453457"/>
            <a:gd name="connsiteX4" fmla="*/ 114300 w 729343"/>
            <a:gd name="connsiteY4" fmla="*/ 350043 h 453457"/>
            <a:gd name="connsiteX5" fmla="*/ 146958 w 729343"/>
            <a:gd name="connsiteY5" fmla="*/ 371815 h 453457"/>
            <a:gd name="connsiteX6" fmla="*/ 157843 w 729343"/>
            <a:gd name="connsiteY6" fmla="*/ 388143 h 453457"/>
            <a:gd name="connsiteX7" fmla="*/ 190500 w 729343"/>
            <a:gd name="connsiteY7" fmla="*/ 409915 h 453457"/>
            <a:gd name="connsiteX8" fmla="*/ 195943 w 729343"/>
            <a:gd name="connsiteY8" fmla="*/ 426243 h 453457"/>
            <a:gd name="connsiteX9" fmla="*/ 234043 w 729343"/>
            <a:gd name="connsiteY9" fmla="*/ 426243 h 453457"/>
            <a:gd name="connsiteX10" fmla="*/ 348343 w 729343"/>
            <a:gd name="connsiteY10" fmla="*/ 420800 h 453457"/>
            <a:gd name="connsiteX11" fmla="*/ 391886 w 729343"/>
            <a:gd name="connsiteY11" fmla="*/ 388143 h 453457"/>
            <a:gd name="connsiteX12" fmla="*/ 451758 w 729343"/>
            <a:gd name="connsiteY12" fmla="*/ 437129 h 453457"/>
            <a:gd name="connsiteX13" fmla="*/ 582386 w 729343"/>
            <a:gd name="connsiteY13" fmla="*/ 393586 h 453457"/>
            <a:gd name="connsiteX14" fmla="*/ 620486 w 729343"/>
            <a:gd name="connsiteY14" fmla="*/ 437129 h 453457"/>
            <a:gd name="connsiteX15" fmla="*/ 664029 w 729343"/>
            <a:gd name="connsiteY15" fmla="*/ 453457 h 453457"/>
            <a:gd name="connsiteX16" fmla="*/ 729343 w 729343"/>
            <a:gd name="connsiteY16" fmla="*/ 360929 h 453457"/>
            <a:gd name="connsiteX17" fmla="*/ 658586 w 729343"/>
            <a:gd name="connsiteY17" fmla="*/ 273843 h 453457"/>
            <a:gd name="connsiteX18" fmla="*/ 571500 w 729343"/>
            <a:gd name="connsiteY18" fmla="*/ 295615 h 453457"/>
            <a:gd name="connsiteX19" fmla="*/ 484415 w 729343"/>
            <a:gd name="connsiteY19" fmla="*/ 137772 h 453457"/>
            <a:gd name="connsiteX20" fmla="*/ 136072 w 729343"/>
            <a:gd name="connsiteY20" fmla="*/ 1700 h 453457"/>
            <a:gd name="connsiteX21" fmla="*/ 127249 w 729343"/>
            <a:gd name="connsiteY21" fmla="*/ 0 h 453457"/>
            <a:gd name="connsiteX22" fmla="*/ 0 w 729343"/>
            <a:gd name="connsiteY22" fmla="*/ 148657 h 453457"/>
            <a:gd name="connsiteX23" fmla="*/ 59872 w 729343"/>
            <a:gd name="connsiteY23" fmla="*/ 268400 h 4534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729343" h="453457">
              <a:moveTo>
                <a:pt x="59872" y="268400"/>
              </a:moveTo>
              <a:lnTo>
                <a:pt x="59872" y="268400"/>
              </a:lnTo>
              <a:cubicBezTo>
                <a:pt x="65315" y="282914"/>
                <a:pt x="66899" y="299542"/>
                <a:pt x="76200" y="311943"/>
              </a:cubicBezTo>
              <a:cubicBezTo>
                <a:pt x="84050" y="322410"/>
                <a:pt x="108858" y="333715"/>
                <a:pt x="108858" y="333715"/>
              </a:cubicBezTo>
              <a:cubicBezTo>
                <a:pt x="110672" y="339158"/>
                <a:pt x="110243" y="345986"/>
                <a:pt x="114300" y="350043"/>
              </a:cubicBezTo>
              <a:cubicBezTo>
                <a:pt x="123551" y="359294"/>
                <a:pt x="146958" y="371815"/>
                <a:pt x="146958" y="371815"/>
              </a:cubicBezTo>
              <a:cubicBezTo>
                <a:pt x="150586" y="377258"/>
                <a:pt x="152920" y="383836"/>
                <a:pt x="157843" y="388143"/>
              </a:cubicBezTo>
              <a:cubicBezTo>
                <a:pt x="167689" y="396758"/>
                <a:pt x="190500" y="409915"/>
                <a:pt x="190500" y="409915"/>
              </a:cubicBezTo>
              <a:cubicBezTo>
                <a:pt x="192314" y="415358"/>
                <a:pt x="191886" y="422186"/>
                <a:pt x="195943" y="426243"/>
              </a:cubicBezTo>
              <a:cubicBezTo>
                <a:pt x="207879" y="438179"/>
                <a:pt x="221686" y="427697"/>
                <a:pt x="234043" y="426243"/>
              </a:cubicBezTo>
              <a:cubicBezTo>
                <a:pt x="289769" y="419687"/>
                <a:pt x="299247" y="420800"/>
                <a:pt x="348343" y="420800"/>
              </a:cubicBezTo>
              <a:lnTo>
                <a:pt x="391886" y="388143"/>
              </a:lnTo>
              <a:lnTo>
                <a:pt x="451758" y="437129"/>
              </a:lnTo>
              <a:lnTo>
                <a:pt x="582386" y="393586"/>
              </a:lnTo>
              <a:lnTo>
                <a:pt x="620486" y="437129"/>
              </a:lnTo>
              <a:lnTo>
                <a:pt x="664029" y="453457"/>
              </a:lnTo>
              <a:lnTo>
                <a:pt x="729343" y="360929"/>
              </a:lnTo>
              <a:lnTo>
                <a:pt x="658586" y="273843"/>
              </a:lnTo>
              <a:lnTo>
                <a:pt x="571500" y="295615"/>
              </a:lnTo>
              <a:lnTo>
                <a:pt x="484415" y="137772"/>
              </a:lnTo>
              <a:lnTo>
                <a:pt x="136072" y="1700"/>
              </a:lnTo>
              <a:lnTo>
                <a:pt x="127249" y="0"/>
              </a:lnTo>
              <a:lnTo>
                <a:pt x="0" y="148657"/>
              </a:lnTo>
              <a:lnTo>
                <a:pt x="59872" y="268400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5</xdr:col>
      <xdr:colOff>114691</xdr:colOff>
      <xdr:row>6</xdr:row>
      <xdr:rowOff>45047</xdr:rowOff>
    </xdr:from>
    <xdr:to>
      <xdr:col>6</xdr:col>
      <xdr:colOff>212064</xdr:colOff>
      <xdr:row>7</xdr:row>
      <xdr:rowOff>137206</xdr:rowOff>
    </xdr:to>
    <xdr:sp macro="" textlink="">
      <xdr:nvSpPr>
        <xdr:cNvPr id="4" name="Varaždinska_županija"/>
        <xdr:cNvSpPr/>
      </xdr:nvSpPr>
      <xdr:spPr>
        <a:xfrm>
          <a:off x="3991366" y="1273772"/>
          <a:ext cx="706973" cy="454109"/>
        </a:xfrm>
        <a:custGeom>
          <a:avLst/>
          <a:gdLst>
            <a:gd name="connsiteX0" fmla="*/ 440871 w 1028700"/>
            <a:gd name="connsiteY0" fmla="*/ 43543 h 669471"/>
            <a:gd name="connsiteX1" fmla="*/ 440871 w 1028700"/>
            <a:gd name="connsiteY1" fmla="*/ 43543 h 669471"/>
            <a:gd name="connsiteX2" fmla="*/ 391886 w 1028700"/>
            <a:gd name="connsiteY2" fmla="*/ 48986 h 669471"/>
            <a:gd name="connsiteX3" fmla="*/ 375557 w 1028700"/>
            <a:gd name="connsiteY3" fmla="*/ 54429 h 669471"/>
            <a:gd name="connsiteX4" fmla="*/ 342900 w 1028700"/>
            <a:gd name="connsiteY4" fmla="*/ 54429 h 669471"/>
            <a:gd name="connsiteX5" fmla="*/ 293914 w 1028700"/>
            <a:gd name="connsiteY5" fmla="*/ 0 h 669471"/>
            <a:gd name="connsiteX6" fmla="*/ 179614 w 1028700"/>
            <a:gd name="connsiteY6" fmla="*/ 48986 h 669471"/>
            <a:gd name="connsiteX7" fmla="*/ 212271 w 1028700"/>
            <a:gd name="connsiteY7" fmla="*/ 108857 h 669471"/>
            <a:gd name="connsiteX8" fmla="*/ 0 w 1028700"/>
            <a:gd name="connsiteY8" fmla="*/ 212271 h 669471"/>
            <a:gd name="connsiteX9" fmla="*/ 5443 w 1028700"/>
            <a:gd name="connsiteY9" fmla="*/ 293914 h 669471"/>
            <a:gd name="connsiteX10" fmla="*/ 136071 w 1028700"/>
            <a:gd name="connsiteY10" fmla="*/ 381000 h 669471"/>
            <a:gd name="connsiteX11" fmla="*/ 250371 w 1028700"/>
            <a:gd name="connsiteY11" fmla="*/ 370114 h 669471"/>
            <a:gd name="connsiteX12" fmla="*/ 288471 w 1028700"/>
            <a:gd name="connsiteY12" fmla="*/ 413657 h 669471"/>
            <a:gd name="connsiteX13" fmla="*/ 375557 w 1028700"/>
            <a:gd name="connsiteY13" fmla="*/ 353786 h 669471"/>
            <a:gd name="connsiteX14" fmla="*/ 408214 w 1028700"/>
            <a:gd name="connsiteY14" fmla="*/ 391886 h 669471"/>
            <a:gd name="connsiteX15" fmla="*/ 402771 w 1028700"/>
            <a:gd name="connsiteY15" fmla="*/ 560614 h 669471"/>
            <a:gd name="connsiteX16" fmla="*/ 473529 w 1028700"/>
            <a:gd name="connsiteY16" fmla="*/ 669471 h 669471"/>
            <a:gd name="connsiteX17" fmla="*/ 527957 w 1028700"/>
            <a:gd name="connsiteY17" fmla="*/ 642257 h 669471"/>
            <a:gd name="connsiteX18" fmla="*/ 527957 w 1028700"/>
            <a:gd name="connsiteY18" fmla="*/ 538843 h 669471"/>
            <a:gd name="connsiteX19" fmla="*/ 615043 w 1028700"/>
            <a:gd name="connsiteY19" fmla="*/ 440871 h 669471"/>
            <a:gd name="connsiteX20" fmla="*/ 669471 w 1028700"/>
            <a:gd name="connsiteY20" fmla="*/ 478971 h 669471"/>
            <a:gd name="connsiteX21" fmla="*/ 718457 w 1028700"/>
            <a:gd name="connsiteY21" fmla="*/ 424543 h 669471"/>
            <a:gd name="connsiteX22" fmla="*/ 772886 w 1028700"/>
            <a:gd name="connsiteY22" fmla="*/ 424543 h 669471"/>
            <a:gd name="connsiteX23" fmla="*/ 772886 w 1028700"/>
            <a:gd name="connsiteY23" fmla="*/ 370114 h 669471"/>
            <a:gd name="connsiteX24" fmla="*/ 821871 w 1028700"/>
            <a:gd name="connsiteY24" fmla="*/ 337457 h 669471"/>
            <a:gd name="connsiteX25" fmla="*/ 936171 w 1028700"/>
            <a:gd name="connsiteY25" fmla="*/ 353786 h 669471"/>
            <a:gd name="connsiteX26" fmla="*/ 1028700 w 1028700"/>
            <a:gd name="connsiteY26" fmla="*/ 212271 h 669471"/>
            <a:gd name="connsiteX27" fmla="*/ 968829 w 1028700"/>
            <a:gd name="connsiteY27" fmla="*/ 152400 h 669471"/>
            <a:gd name="connsiteX28" fmla="*/ 827314 w 1028700"/>
            <a:gd name="connsiteY28" fmla="*/ 195943 h 669471"/>
            <a:gd name="connsiteX29" fmla="*/ 767443 w 1028700"/>
            <a:gd name="connsiteY29" fmla="*/ 146957 h 669471"/>
            <a:gd name="connsiteX30" fmla="*/ 702129 w 1028700"/>
            <a:gd name="connsiteY30" fmla="*/ 185057 h 669471"/>
            <a:gd name="connsiteX31" fmla="*/ 593271 w 1028700"/>
            <a:gd name="connsiteY31" fmla="*/ 179614 h 669471"/>
            <a:gd name="connsiteX32" fmla="*/ 440871 w 1028700"/>
            <a:gd name="connsiteY32" fmla="*/ 43543 h 669471"/>
            <a:gd name="connsiteX0" fmla="*/ 440871 w 1028700"/>
            <a:gd name="connsiteY0" fmla="*/ 43543 h 669471"/>
            <a:gd name="connsiteX1" fmla="*/ 440871 w 1028700"/>
            <a:gd name="connsiteY1" fmla="*/ 43543 h 669471"/>
            <a:gd name="connsiteX2" fmla="*/ 391886 w 1028700"/>
            <a:gd name="connsiteY2" fmla="*/ 48986 h 669471"/>
            <a:gd name="connsiteX3" fmla="*/ 375557 w 1028700"/>
            <a:gd name="connsiteY3" fmla="*/ 54429 h 669471"/>
            <a:gd name="connsiteX4" fmla="*/ 342900 w 1028700"/>
            <a:gd name="connsiteY4" fmla="*/ 54429 h 669471"/>
            <a:gd name="connsiteX5" fmla="*/ 293914 w 1028700"/>
            <a:gd name="connsiteY5" fmla="*/ 0 h 669471"/>
            <a:gd name="connsiteX6" fmla="*/ 179614 w 1028700"/>
            <a:gd name="connsiteY6" fmla="*/ 48986 h 669471"/>
            <a:gd name="connsiteX7" fmla="*/ 212271 w 1028700"/>
            <a:gd name="connsiteY7" fmla="*/ 108857 h 669471"/>
            <a:gd name="connsiteX8" fmla="*/ 0 w 1028700"/>
            <a:gd name="connsiteY8" fmla="*/ 212271 h 669471"/>
            <a:gd name="connsiteX9" fmla="*/ 5443 w 1028700"/>
            <a:gd name="connsiteY9" fmla="*/ 293914 h 669471"/>
            <a:gd name="connsiteX10" fmla="*/ 136071 w 1028700"/>
            <a:gd name="connsiteY10" fmla="*/ 381000 h 669471"/>
            <a:gd name="connsiteX11" fmla="*/ 250371 w 1028700"/>
            <a:gd name="connsiteY11" fmla="*/ 370114 h 669471"/>
            <a:gd name="connsiteX12" fmla="*/ 288471 w 1028700"/>
            <a:gd name="connsiteY12" fmla="*/ 413657 h 669471"/>
            <a:gd name="connsiteX13" fmla="*/ 375557 w 1028700"/>
            <a:gd name="connsiteY13" fmla="*/ 353786 h 669471"/>
            <a:gd name="connsiteX14" fmla="*/ 408214 w 1028700"/>
            <a:gd name="connsiteY14" fmla="*/ 391886 h 669471"/>
            <a:gd name="connsiteX15" fmla="*/ 402771 w 1028700"/>
            <a:gd name="connsiteY15" fmla="*/ 560614 h 669471"/>
            <a:gd name="connsiteX16" fmla="*/ 473529 w 1028700"/>
            <a:gd name="connsiteY16" fmla="*/ 669471 h 669471"/>
            <a:gd name="connsiteX17" fmla="*/ 527957 w 1028700"/>
            <a:gd name="connsiteY17" fmla="*/ 642257 h 669471"/>
            <a:gd name="connsiteX18" fmla="*/ 527957 w 1028700"/>
            <a:gd name="connsiteY18" fmla="*/ 538843 h 669471"/>
            <a:gd name="connsiteX19" fmla="*/ 615043 w 1028700"/>
            <a:gd name="connsiteY19" fmla="*/ 440871 h 669471"/>
            <a:gd name="connsiteX20" fmla="*/ 669471 w 1028700"/>
            <a:gd name="connsiteY20" fmla="*/ 478971 h 669471"/>
            <a:gd name="connsiteX21" fmla="*/ 718457 w 1028700"/>
            <a:gd name="connsiteY21" fmla="*/ 424543 h 669471"/>
            <a:gd name="connsiteX22" fmla="*/ 772886 w 1028700"/>
            <a:gd name="connsiteY22" fmla="*/ 424543 h 669471"/>
            <a:gd name="connsiteX23" fmla="*/ 772886 w 1028700"/>
            <a:gd name="connsiteY23" fmla="*/ 370114 h 669471"/>
            <a:gd name="connsiteX24" fmla="*/ 821871 w 1028700"/>
            <a:gd name="connsiteY24" fmla="*/ 337457 h 669471"/>
            <a:gd name="connsiteX25" fmla="*/ 945706 w 1028700"/>
            <a:gd name="connsiteY25" fmla="*/ 356167 h 669471"/>
            <a:gd name="connsiteX26" fmla="*/ 1028700 w 1028700"/>
            <a:gd name="connsiteY26" fmla="*/ 212271 h 669471"/>
            <a:gd name="connsiteX27" fmla="*/ 968829 w 1028700"/>
            <a:gd name="connsiteY27" fmla="*/ 152400 h 669471"/>
            <a:gd name="connsiteX28" fmla="*/ 827314 w 1028700"/>
            <a:gd name="connsiteY28" fmla="*/ 195943 h 669471"/>
            <a:gd name="connsiteX29" fmla="*/ 767443 w 1028700"/>
            <a:gd name="connsiteY29" fmla="*/ 146957 h 669471"/>
            <a:gd name="connsiteX30" fmla="*/ 702129 w 1028700"/>
            <a:gd name="connsiteY30" fmla="*/ 185057 h 669471"/>
            <a:gd name="connsiteX31" fmla="*/ 593271 w 1028700"/>
            <a:gd name="connsiteY31" fmla="*/ 179614 h 669471"/>
            <a:gd name="connsiteX32" fmla="*/ 440871 w 1028700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73529 w 1040619"/>
            <a:gd name="connsiteY16" fmla="*/ 669471 h 669471"/>
            <a:gd name="connsiteX17" fmla="*/ 527957 w 1040619"/>
            <a:gd name="connsiteY17" fmla="*/ 642257 h 669471"/>
            <a:gd name="connsiteX18" fmla="*/ 527957 w 1040619"/>
            <a:gd name="connsiteY18" fmla="*/ 538843 h 669471"/>
            <a:gd name="connsiteX19" fmla="*/ 615043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72886 w 1040619"/>
            <a:gd name="connsiteY22" fmla="*/ 424543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27957 w 1040619"/>
            <a:gd name="connsiteY17" fmla="*/ 642257 h 669471"/>
            <a:gd name="connsiteX18" fmla="*/ 527957 w 1040619"/>
            <a:gd name="connsiteY18" fmla="*/ 538843 h 669471"/>
            <a:gd name="connsiteX19" fmla="*/ 615043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72886 w 1040619"/>
            <a:gd name="connsiteY22" fmla="*/ 424543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27957 w 1040619"/>
            <a:gd name="connsiteY18" fmla="*/ 538843 h 669471"/>
            <a:gd name="connsiteX19" fmla="*/ 615043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72886 w 1040619"/>
            <a:gd name="connsiteY22" fmla="*/ 424543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15043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72886 w 1040619"/>
            <a:gd name="connsiteY22" fmla="*/ 424543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22195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72886 w 1040619"/>
            <a:gd name="connsiteY22" fmla="*/ 424543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22195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84806 w 1040619"/>
            <a:gd name="connsiteY22" fmla="*/ 426925 h 669471"/>
            <a:gd name="connsiteX23" fmla="*/ 772886 w 1040619"/>
            <a:gd name="connsiteY23" fmla="*/ 370114 h 669471"/>
            <a:gd name="connsiteX24" fmla="*/ 821871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22195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84806 w 1040619"/>
            <a:gd name="connsiteY22" fmla="*/ 426925 h 669471"/>
            <a:gd name="connsiteX23" fmla="*/ 772886 w 1040619"/>
            <a:gd name="connsiteY23" fmla="*/ 370114 h 669471"/>
            <a:gd name="connsiteX24" fmla="*/ 829022 w 1040619"/>
            <a:gd name="connsiteY24" fmla="*/ 337457 h 669471"/>
            <a:gd name="connsiteX25" fmla="*/ 945706 w 1040619"/>
            <a:gd name="connsiteY25" fmla="*/ 356167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5443 w 1040619"/>
            <a:gd name="connsiteY9" fmla="*/ 293914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22195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84806 w 1040619"/>
            <a:gd name="connsiteY22" fmla="*/ 426925 h 669471"/>
            <a:gd name="connsiteX23" fmla="*/ 772886 w 1040619"/>
            <a:gd name="connsiteY23" fmla="*/ 370114 h 669471"/>
            <a:gd name="connsiteX24" fmla="*/ 829022 w 1040619"/>
            <a:gd name="connsiteY24" fmla="*/ 337457 h 669471"/>
            <a:gd name="connsiteX25" fmla="*/ 950474 w 1040619"/>
            <a:gd name="connsiteY25" fmla="*/ 363311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  <a:gd name="connsiteX0" fmla="*/ 440871 w 1040619"/>
            <a:gd name="connsiteY0" fmla="*/ 43543 h 669471"/>
            <a:gd name="connsiteX1" fmla="*/ 440871 w 1040619"/>
            <a:gd name="connsiteY1" fmla="*/ 43543 h 669471"/>
            <a:gd name="connsiteX2" fmla="*/ 391886 w 1040619"/>
            <a:gd name="connsiteY2" fmla="*/ 48986 h 669471"/>
            <a:gd name="connsiteX3" fmla="*/ 375557 w 1040619"/>
            <a:gd name="connsiteY3" fmla="*/ 54429 h 669471"/>
            <a:gd name="connsiteX4" fmla="*/ 342900 w 1040619"/>
            <a:gd name="connsiteY4" fmla="*/ 54429 h 669471"/>
            <a:gd name="connsiteX5" fmla="*/ 293914 w 1040619"/>
            <a:gd name="connsiteY5" fmla="*/ 0 h 669471"/>
            <a:gd name="connsiteX6" fmla="*/ 179614 w 1040619"/>
            <a:gd name="connsiteY6" fmla="*/ 48986 h 669471"/>
            <a:gd name="connsiteX7" fmla="*/ 212271 w 1040619"/>
            <a:gd name="connsiteY7" fmla="*/ 108857 h 669471"/>
            <a:gd name="connsiteX8" fmla="*/ 0 w 1040619"/>
            <a:gd name="connsiteY8" fmla="*/ 212271 h 669471"/>
            <a:gd name="connsiteX9" fmla="*/ 10210 w 1040619"/>
            <a:gd name="connsiteY9" fmla="*/ 289151 h 669471"/>
            <a:gd name="connsiteX10" fmla="*/ 136071 w 1040619"/>
            <a:gd name="connsiteY10" fmla="*/ 381000 h 669471"/>
            <a:gd name="connsiteX11" fmla="*/ 250371 w 1040619"/>
            <a:gd name="connsiteY11" fmla="*/ 370114 h 669471"/>
            <a:gd name="connsiteX12" fmla="*/ 288471 w 1040619"/>
            <a:gd name="connsiteY12" fmla="*/ 413657 h 669471"/>
            <a:gd name="connsiteX13" fmla="*/ 375557 w 1040619"/>
            <a:gd name="connsiteY13" fmla="*/ 353786 h 669471"/>
            <a:gd name="connsiteX14" fmla="*/ 408214 w 1040619"/>
            <a:gd name="connsiteY14" fmla="*/ 391886 h 669471"/>
            <a:gd name="connsiteX15" fmla="*/ 402771 w 1040619"/>
            <a:gd name="connsiteY15" fmla="*/ 560614 h 669471"/>
            <a:gd name="connsiteX16" fmla="*/ 480680 w 1040619"/>
            <a:gd name="connsiteY16" fmla="*/ 669471 h 669471"/>
            <a:gd name="connsiteX17" fmla="*/ 535108 w 1040619"/>
            <a:gd name="connsiteY17" fmla="*/ 639876 h 669471"/>
            <a:gd name="connsiteX18" fmla="*/ 530340 w 1040619"/>
            <a:gd name="connsiteY18" fmla="*/ 543605 h 669471"/>
            <a:gd name="connsiteX19" fmla="*/ 622195 w 1040619"/>
            <a:gd name="connsiteY19" fmla="*/ 440871 h 669471"/>
            <a:gd name="connsiteX20" fmla="*/ 669471 w 1040619"/>
            <a:gd name="connsiteY20" fmla="*/ 478971 h 669471"/>
            <a:gd name="connsiteX21" fmla="*/ 718457 w 1040619"/>
            <a:gd name="connsiteY21" fmla="*/ 424543 h 669471"/>
            <a:gd name="connsiteX22" fmla="*/ 784806 w 1040619"/>
            <a:gd name="connsiteY22" fmla="*/ 426925 h 669471"/>
            <a:gd name="connsiteX23" fmla="*/ 772886 w 1040619"/>
            <a:gd name="connsiteY23" fmla="*/ 370114 h 669471"/>
            <a:gd name="connsiteX24" fmla="*/ 829022 w 1040619"/>
            <a:gd name="connsiteY24" fmla="*/ 337457 h 669471"/>
            <a:gd name="connsiteX25" fmla="*/ 950474 w 1040619"/>
            <a:gd name="connsiteY25" fmla="*/ 363311 h 669471"/>
            <a:gd name="connsiteX26" fmla="*/ 1040619 w 1040619"/>
            <a:gd name="connsiteY26" fmla="*/ 219415 h 669471"/>
            <a:gd name="connsiteX27" fmla="*/ 968829 w 1040619"/>
            <a:gd name="connsiteY27" fmla="*/ 152400 h 669471"/>
            <a:gd name="connsiteX28" fmla="*/ 827314 w 1040619"/>
            <a:gd name="connsiteY28" fmla="*/ 195943 h 669471"/>
            <a:gd name="connsiteX29" fmla="*/ 767443 w 1040619"/>
            <a:gd name="connsiteY29" fmla="*/ 146957 h 669471"/>
            <a:gd name="connsiteX30" fmla="*/ 702129 w 1040619"/>
            <a:gd name="connsiteY30" fmla="*/ 185057 h 669471"/>
            <a:gd name="connsiteX31" fmla="*/ 593271 w 1040619"/>
            <a:gd name="connsiteY31" fmla="*/ 179614 h 669471"/>
            <a:gd name="connsiteX32" fmla="*/ 440871 w 1040619"/>
            <a:gd name="connsiteY32" fmla="*/ 43543 h 669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40619" h="669471">
              <a:moveTo>
                <a:pt x="440871" y="43543"/>
              </a:moveTo>
              <a:lnTo>
                <a:pt x="440871" y="43543"/>
              </a:lnTo>
              <a:cubicBezTo>
                <a:pt x="424543" y="45357"/>
                <a:pt x="408091" y="46285"/>
                <a:pt x="391886" y="48986"/>
              </a:cubicBezTo>
              <a:cubicBezTo>
                <a:pt x="386227" y="49929"/>
                <a:pt x="381259" y="53795"/>
                <a:pt x="375557" y="54429"/>
              </a:cubicBezTo>
              <a:cubicBezTo>
                <a:pt x="364738" y="55631"/>
                <a:pt x="353786" y="54429"/>
                <a:pt x="342900" y="54429"/>
              </a:cubicBezTo>
              <a:lnTo>
                <a:pt x="293914" y="0"/>
              </a:lnTo>
              <a:lnTo>
                <a:pt x="179614" y="48986"/>
              </a:lnTo>
              <a:lnTo>
                <a:pt x="212271" y="108857"/>
              </a:lnTo>
              <a:lnTo>
                <a:pt x="0" y="212271"/>
              </a:lnTo>
              <a:lnTo>
                <a:pt x="10210" y="289151"/>
              </a:lnTo>
              <a:lnTo>
                <a:pt x="136071" y="381000"/>
              </a:lnTo>
              <a:lnTo>
                <a:pt x="250371" y="370114"/>
              </a:lnTo>
              <a:lnTo>
                <a:pt x="288471" y="413657"/>
              </a:lnTo>
              <a:lnTo>
                <a:pt x="375557" y="353786"/>
              </a:lnTo>
              <a:lnTo>
                <a:pt x="408214" y="391886"/>
              </a:lnTo>
              <a:lnTo>
                <a:pt x="402771" y="560614"/>
              </a:lnTo>
              <a:lnTo>
                <a:pt x="480680" y="669471"/>
              </a:lnTo>
              <a:lnTo>
                <a:pt x="535108" y="639876"/>
              </a:lnTo>
              <a:lnTo>
                <a:pt x="530340" y="543605"/>
              </a:lnTo>
              <a:lnTo>
                <a:pt x="622195" y="440871"/>
              </a:lnTo>
              <a:lnTo>
                <a:pt x="669471" y="478971"/>
              </a:lnTo>
              <a:lnTo>
                <a:pt x="718457" y="424543"/>
              </a:lnTo>
              <a:lnTo>
                <a:pt x="784806" y="426925"/>
              </a:lnTo>
              <a:lnTo>
                <a:pt x="772886" y="370114"/>
              </a:lnTo>
              <a:lnTo>
                <a:pt x="829022" y="337457"/>
              </a:lnTo>
              <a:lnTo>
                <a:pt x="950474" y="363311"/>
              </a:lnTo>
              <a:lnTo>
                <a:pt x="1040619" y="219415"/>
              </a:lnTo>
              <a:lnTo>
                <a:pt x="968829" y="152400"/>
              </a:lnTo>
              <a:lnTo>
                <a:pt x="827314" y="195943"/>
              </a:lnTo>
              <a:lnTo>
                <a:pt x="767443" y="146957"/>
              </a:lnTo>
              <a:lnTo>
                <a:pt x="702129" y="185057"/>
              </a:lnTo>
              <a:lnTo>
                <a:pt x="593271" y="179614"/>
              </a:lnTo>
              <a:lnTo>
                <a:pt x="440871" y="43543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4</xdr:col>
      <xdr:colOff>496087</xdr:colOff>
      <xdr:row>6</xdr:row>
      <xdr:rowOff>189032</xdr:rowOff>
    </xdr:from>
    <xdr:to>
      <xdr:col>5</xdr:col>
      <xdr:colOff>391388</xdr:colOff>
      <xdr:row>8</xdr:row>
      <xdr:rowOff>46388</xdr:rowOff>
    </xdr:to>
    <xdr:sp macro="" textlink="">
      <xdr:nvSpPr>
        <xdr:cNvPr id="5" name="Krapinsko_zagorska_županija"/>
        <xdr:cNvSpPr/>
      </xdr:nvSpPr>
      <xdr:spPr>
        <a:xfrm>
          <a:off x="3763162" y="1417757"/>
          <a:ext cx="504901" cy="409806"/>
        </a:xfrm>
        <a:custGeom>
          <a:avLst/>
          <a:gdLst>
            <a:gd name="connsiteX0" fmla="*/ 332014 w 745671"/>
            <a:gd name="connsiteY0" fmla="*/ 0 h 604158"/>
            <a:gd name="connsiteX1" fmla="*/ 239486 w 745671"/>
            <a:gd name="connsiteY1" fmla="*/ 43543 h 604158"/>
            <a:gd name="connsiteX2" fmla="*/ 212271 w 745671"/>
            <a:gd name="connsiteY2" fmla="*/ 114300 h 604158"/>
            <a:gd name="connsiteX3" fmla="*/ 70757 w 745671"/>
            <a:gd name="connsiteY3" fmla="*/ 81643 h 604158"/>
            <a:gd name="connsiteX4" fmla="*/ 48986 w 745671"/>
            <a:gd name="connsiteY4" fmla="*/ 146958 h 604158"/>
            <a:gd name="connsiteX5" fmla="*/ 59871 w 745671"/>
            <a:gd name="connsiteY5" fmla="*/ 174172 h 604158"/>
            <a:gd name="connsiteX6" fmla="*/ 0 w 745671"/>
            <a:gd name="connsiteY6" fmla="*/ 195943 h 604158"/>
            <a:gd name="connsiteX7" fmla="*/ 16328 w 745671"/>
            <a:gd name="connsiteY7" fmla="*/ 299358 h 604158"/>
            <a:gd name="connsiteX8" fmla="*/ 141514 w 745671"/>
            <a:gd name="connsiteY8" fmla="*/ 397329 h 604158"/>
            <a:gd name="connsiteX9" fmla="*/ 108857 w 745671"/>
            <a:gd name="connsiteY9" fmla="*/ 517072 h 604158"/>
            <a:gd name="connsiteX10" fmla="*/ 217714 w 745671"/>
            <a:gd name="connsiteY10" fmla="*/ 538843 h 604158"/>
            <a:gd name="connsiteX11" fmla="*/ 255814 w 745671"/>
            <a:gd name="connsiteY11" fmla="*/ 478972 h 604158"/>
            <a:gd name="connsiteX12" fmla="*/ 419100 w 745671"/>
            <a:gd name="connsiteY12" fmla="*/ 604158 h 604158"/>
            <a:gd name="connsiteX13" fmla="*/ 625928 w 745671"/>
            <a:gd name="connsiteY13" fmla="*/ 517072 h 604158"/>
            <a:gd name="connsiteX14" fmla="*/ 745671 w 745671"/>
            <a:gd name="connsiteY14" fmla="*/ 342900 h 604158"/>
            <a:gd name="connsiteX15" fmla="*/ 745671 w 745671"/>
            <a:gd name="connsiteY15" fmla="*/ 163286 h 604158"/>
            <a:gd name="connsiteX16" fmla="*/ 723900 w 745671"/>
            <a:gd name="connsiteY16" fmla="*/ 136072 h 604158"/>
            <a:gd name="connsiteX17" fmla="*/ 620486 w 745671"/>
            <a:gd name="connsiteY17" fmla="*/ 195943 h 604158"/>
            <a:gd name="connsiteX18" fmla="*/ 593271 w 745671"/>
            <a:gd name="connsiteY18" fmla="*/ 157843 h 604158"/>
            <a:gd name="connsiteX19" fmla="*/ 468086 w 745671"/>
            <a:gd name="connsiteY19" fmla="*/ 168729 h 604158"/>
            <a:gd name="connsiteX20" fmla="*/ 348343 w 745671"/>
            <a:gd name="connsiteY20" fmla="*/ 76200 h 604158"/>
            <a:gd name="connsiteX21" fmla="*/ 332014 w 745671"/>
            <a:gd name="connsiteY21" fmla="*/ 0 h 6041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745671" h="604158">
              <a:moveTo>
                <a:pt x="332014" y="0"/>
              </a:moveTo>
              <a:lnTo>
                <a:pt x="239486" y="43543"/>
              </a:lnTo>
              <a:lnTo>
                <a:pt x="212271" y="114300"/>
              </a:lnTo>
              <a:lnTo>
                <a:pt x="70757" y="81643"/>
              </a:lnTo>
              <a:lnTo>
                <a:pt x="48986" y="146958"/>
              </a:lnTo>
              <a:lnTo>
                <a:pt x="59871" y="174172"/>
              </a:lnTo>
              <a:lnTo>
                <a:pt x="0" y="195943"/>
              </a:lnTo>
              <a:lnTo>
                <a:pt x="16328" y="299358"/>
              </a:lnTo>
              <a:lnTo>
                <a:pt x="141514" y="397329"/>
              </a:lnTo>
              <a:lnTo>
                <a:pt x="108857" y="517072"/>
              </a:lnTo>
              <a:lnTo>
                <a:pt x="217714" y="538843"/>
              </a:lnTo>
              <a:lnTo>
                <a:pt x="255814" y="478972"/>
              </a:lnTo>
              <a:lnTo>
                <a:pt x="419100" y="604158"/>
              </a:lnTo>
              <a:lnTo>
                <a:pt x="625928" y="517072"/>
              </a:lnTo>
              <a:lnTo>
                <a:pt x="745671" y="342900"/>
              </a:lnTo>
              <a:lnTo>
                <a:pt x="745671" y="163286"/>
              </a:lnTo>
              <a:lnTo>
                <a:pt x="723900" y="136072"/>
              </a:lnTo>
              <a:lnTo>
                <a:pt x="620486" y="195943"/>
              </a:lnTo>
              <a:lnTo>
                <a:pt x="593271" y="157843"/>
              </a:lnTo>
              <a:lnTo>
                <a:pt x="468086" y="168729"/>
              </a:lnTo>
              <a:lnTo>
                <a:pt x="348343" y="76200"/>
              </a:lnTo>
              <a:lnTo>
                <a:pt x="332014" y="0"/>
              </a:lnTo>
              <a:close/>
            </a:path>
          </a:pathLst>
        </a:custGeom>
        <a:solidFill>
          <a:srgbClr val="D9E1F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4</xdr:col>
      <xdr:colOff>291623</xdr:colOff>
      <xdr:row>7</xdr:row>
      <xdr:rowOff>65443</xdr:rowOff>
    </xdr:from>
    <xdr:to>
      <xdr:col>6</xdr:col>
      <xdr:colOff>154076</xdr:colOff>
      <xdr:row>10</xdr:row>
      <xdr:rowOff>178569</xdr:rowOff>
    </xdr:to>
    <xdr:sp macro="" textlink="">
      <xdr:nvSpPr>
        <xdr:cNvPr id="6" name="Zagrebačka_županija"/>
        <xdr:cNvSpPr/>
      </xdr:nvSpPr>
      <xdr:spPr>
        <a:xfrm>
          <a:off x="3558698" y="1656118"/>
          <a:ext cx="1081653" cy="684626"/>
        </a:xfrm>
        <a:custGeom>
          <a:avLst/>
          <a:gdLst>
            <a:gd name="connsiteX0" fmla="*/ 419100 w 1589314"/>
            <a:gd name="connsiteY0" fmla="*/ 157843 h 1006929"/>
            <a:gd name="connsiteX1" fmla="*/ 408214 w 1589314"/>
            <a:gd name="connsiteY1" fmla="*/ 266700 h 1006929"/>
            <a:gd name="connsiteX2" fmla="*/ 381000 w 1589314"/>
            <a:gd name="connsiteY2" fmla="*/ 288472 h 1006929"/>
            <a:gd name="connsiteX3" fmla="*/ 413657 w 1589314"/>
            <a:gd name="connsiteY3" fmla="*/ 381000 h 1006929"/>
            <a:gd name="connsiteX4" fmla="*/ 342900 w 1589314"/>
            <a:gd name="connsiteY4" fmla="*/ 419100 h 1006929"/>
            <a:gd name="connsiteX5" fmla="*/ 255814 w 1589314"/>
            <a:gd name="connsiteY5" fmla="*/ 386443 h 1006929"/>
            <a:gd name="connsiteX6" fmla="*/ 206829 w 1589314"/>
            <a:gd name="connsiteY6" fmla="*/ 424543 h 1006929"/>
            <a:gd name="connsiteX7" fmla="*/ 163286 w 1589314"/>
            <a:gd name="connsiteY7" fmla="*/ 402772 h 1006929"/>
            <a:gd name="connsiteX8" fmla="*/ 141514 w 1589314"/>
            <a:gd name="connsiteY8" fmla="*/ 457200 h 1006929"/>
            <a:gd name="connsiteX9" fmla="*/ 0 w 1589314"/>
            <a:gd name="connsiteY9" fmla="*/ 522514 h 1006929"/>
            <a:gd name="connsiteX10" fmla="*/ 97971 w 1589314"/>
            <a:gd name="connsiteY10" fmla="*/ 636814 h 1006929"/>
            <a:gd name="connsiteX11" fmla="*/ 212271 w 1589314"/>
            <a:gd name="connsiteY11" fmla="*/ 745672 h 1006929"/>
            <a:gd name="connsiteX12" fmla="*/ 206829 w 1589314"/>
            <a:gd name="connsiteY12" fmla="*/ 767443 h 1006929"/>
            <a:gd name="connsiteX13" fmla="*/ 255814 w 1589314"/>
            <a:gd name="connsiteY13" fmla="*/ 800100 h 1006929"/>
            <a:gd name="connsiteX14" fmla="*/ 321129 w 1589314"/>
            <a:gd name="connsiteY14" fmla="*/ 751114 h 1006929"/>
            <a:gd name="connsiteX15" fmla="*/ 489857 w 1589314"/>
            <a:gd name="connsiteY15" fmla="*/ 827314 h 1006929"/>
            <a:gd name="connsiteX16" fmla="*/ 457200 w 1589314"/>
            <a:gd name="connsiteY16" fmla="*/ 859972 h 1006929"/>
            <a:gd name="connsiteX17" fmla="*/ 527957 w 1589314"/>
            <a:gd name="connsiteY17" fmla="*/ 914400 h 1006929"/>
            <a:gd name="connsiteX18" fmla="*/ 598714 w 1589314"/>
            <a:gd name="connsiteY18" fmla="*/ 870857 h 1006929"/>
            <a:gd name="connsiteX19" fmla="*/ 669471 w 1589314"/>
            <a:gd name="connsiteY19" fmla="*/ 925286 h 1006929"/>
            <a:gd name="connsiteX20" fmla="*/ 664029 w 1589314"/>
            <a:gd name="connsiteY20" fmla="*/ 990600 h 1006929"/>
            <a:gd name="connsiteX21" fmla="*/ 729343 w 1589314"/>
            <a:gd name="connsiteY21" fmla="*/ 1006929 h 1006929"/>
            <a:gd name="connsiteX22" fmla="*/ 810986 w 1589314"/>
            <a:gd name="connsiteY22" fmla="*/ 957943 h 1006929"/>
            <a:gd name="connsiteX23" fmla="*/ 849086 w 1589314"/>
            <a:gd name="connsiteY23" fmla="*/ 985157 h 1006929"/>
            <a:gd name="connsiteX24" fmla="*/ 859971 w 1589314"/>
            <a:gd name="connsiteY24" fmla="*/ 925286 h 1006929"/>
            <a:gd name="connsiteX25" fmla="*/ 892629 w 1589314"/>
            <a:gd name="connsiteY25" fmla="*/ 908957 h 1006929"/>
            <a:gd name="connsiteX26" fmla="*/ 843643 w 1589314"/>
            <a:gd name="connsiteY26" fmla="*/ 849086 h 1006929"/>
            <a:gd name="connsiteX27" fmla="*/ 952500 w 1589314"/>
            <a:gd name="connsiteY27" fmla="*/ 707572 h 1006929"/>
            <a:gd name="connsiteX28" fmla="*/ 1066800 w 1589314"/>
            <a:gd name="connsiteY28" fmla="*/ 778329 h 1006929"/>
            <a:gd name="connsiteX29" fmla="*/ 1159329 w 1589314"/>
            <a:gd name="connsiteY29" fmla="*/ 696686 h 1006929"/>
            <a:gd name="connsiteX30" fmla="*/ 1262743 w 1589314"/>
            <a:gd name="connsiteY30" fmla="*/ 740229 h 1006929"/>
            <a:gd name="connsiteX31" fmla="*/ 1257300 w 1589314"/>
            <a:gd name="connsiteY31" fmla="*/ 789214 h 1006929"/>
            <a:gd name="connsiteX32" fmla="*/ 1317171 w 1589314"/>
            <a:gd name="connsiteY32" fmla="*/ 800100 h 1006929"/>
            <a:gd name="connsiteX33" fmla="*/ 1409700 w 1589314"/>
            <a:gd name="connsiteY33" fmla="*/ 729343 h 1006929"/>
            <a:gd name="connsiteX34" fmla="*/ 1458686 w 1589314"/>
            <a:gd name="connsiteY34" fmla="*/ 723900 h 1006929"/>
            <a:gd name="connsiteX35" fmla="*/ 1475014 w 1589314"/>
            <a:gd name="connsiteY35" fmla="*/ 658586 h 1006929"/>
            <a:gd name="connsiteX36" fmla="*/ 1377043 w 1589314"/>
            <a:gd name="connsiteY36" fmla="*/ 576943 h 1006929"/>
            <a:gd name="connsiteX37" fmla="*/ 1360714 w 1589314"/>
            <a:gd name="connsiteY37" fmla="*/ 478972 h 1006929"/>
            <a:gd name="connsiteX38" fmla="*/ 1420586 w 1589314"/>
            <a:gd name="connsiteY38" fmla="*/ 435429 h 1006929"/>
            <a:gd name="connsiteX39" fmla="*/ 1480457 w 1589314"/>
            <a:gd name="connsiteY39" fmla="*/ 478972 h 1006929"/>
            <a:gd name="connsiteX40" fmla="*/ 1480457 w 1589314"/>
            <a:gd name="connsiteY40" fmla="*/ 397329 h 1006929"/>
            <a:gd name="connsiteX41" fmla="*/ 1529443 w 1589314"/>
            <a:gd name="connsiteY41" fmla="*/ 370114 h 1006929"/>
            <a:gd name="connsiteX42" fmla="*/ 1540329 w 1589314"/>
            <a:gd name="connsiteY42" fmla="*/ 424543 h 1006929"/>
            <a:gd name="connsiteX43" fmla="*/ 1589314 w 1589314"/>
            <a:gd name="connsiteY43" fmla="*/ 353786 h 1006929"/>
            <a:gd name="connsiteX44" fmla="*/ 1572986 w 1589314"/>
            <a:gd name="connsiteY44" fmla="*/ 244929 h 1006929"/>
            <a:gd name="connsiteX45" fmla="*/ 1469571 w 1589314"/>
            <a:gd name="connsiteY45" fmla="*/ 255814 h 1006929"/>
            <a:gd name="connsiteX46" fmla="*/ 1382486 w 1589314"/>
            <a:gd name="connsiteY46" fmla="*/ 174172 h 1006929"/>
            <a:gd name="connsiteX47" fmla="*/ 1317171 w 1589314"/>
            <a:gd name="connsiteY47" fmla="*/ 195943 h 1006929"/>
            <a:gd name="connsiteX48" fmla="*/ 1191986 w 1589314"/>
            <a:gd name="connsiteY48" fmla="*/ 70757 h 1006929"/>
            <a:gd name="connsiteX49" fmla="*/ 1121229 w 1589314"/>
            <a:gd name="connsiteY49" fmla="*/ 103414 h 1006929"/>
            <a:gd name="connsiteX50" fmla="*/ 1050471 w 1589314"/>
            <a:gd name="connsiteY50" fmla="*/ 0 h 1006929"/>
            <a:gd name="connsiteX51" fmla="*/ 930729 w 1589314"/>
            <a:gd name="connsiteY51" fmla="*/ 152400 h 1006929"/>
            <a:gd name="connsiteX52" fmla="*/ 734786 w 1589314"/>
            <a:gd name="connsiteY52" fmla="*/ 250372 h 1006929"/>
            <a:gd name="connsiteX53" fmla="*/ 560614 w 1589314"/>
            <a:gd name="connsiteY53" fmla="*/ 125186 h 1006929"/>
            <a:gd name="connsiteX54" fmla="*/ 517071 w 1589314"/>
            <a:gd name="connsiteY54" fmla="*/ 179614 h 1006929"/>
            <a:gd name="connsiteX55" fmla="*/ 419100 w 1589314"/>
            <a:gd name="connsiteY55" fmla="*/ 157843 h 1006929"/>
            <a:gd name="connsiteX0" fmla="*/ 419100 w 1589314"/>
            <a:gd name="connsiteY0" fmla="*/ 157843 h 1006929"/>
            <a:gd name="connsiteX1" fmla="*/ 408214 w 1589314"/>
            <a:gd name="connsiteY1" fmla="*/ 266700 h 1006929"/>
            <a:gd name="connsiteX2" fmla="*/ 381000 w 1589314"/>
            <a:gd name="connsiteY2" fmla="*/ 288472 h 1006929"/>
            <a:gd name="connsiteX3" fmla="*/ 413657 w 1589314"/>
            <a:gd name="connsiteY3" fmla="*/ 381000 h 1006929"/>
            <a:gd name="connsiteX4" fmla="*/ 342900 w 1589314"/>
            <a:gd name="connsiteY4" fmla="*/ 419100 h 1006929"/>
            <a:gd name="connsiteX5" fmla="*/ 255814 w 1589314"/>
            <a:gd name="connsiteY5" fmla="*/ 386443 h 1006929"/>
            <a:gd name="connsiteX6" fmla="*/ 206829 w 1589314"/>
            <a:gd name="connsiteY6" fmla="*/ 424543 h 1006929"/>
            <a:gd name="connsiteX7" fmla="*/ 163286 w 1589314"/>
            <a:gd name="connsiteY7" fmla="*/ 402772 h 1006929"/>
            <a:gd name="connsiteX8" fmla="*/ 141514 w 1589314"/>
            <a:gd name="connsiteY8" fmla="*/ 457200 h 1006929"/>
            <a:gd name="connsiteX9" fmla="*/ 0 w 1589314"/>
            <a:gd name="connsiteY9" fmla="*/ 522514 h 1006929"/>
            <a:gd name="connsiteX10" fmla="*/ 97971 w 1589314"/>
            <a:gd name="connsiteY10" fmla="*/ 636814 h 1006929"/>
            <a:gd name="connsiteX11" fmla="*/ 200373 w 1589314"/>
            <a:gd name="connsiteY11" fmla="*/ 743291 h 1006929"/>
            <a:gd name="connsiteX12" fmla="*/ 206829 w 1589314"/>
            <a:gd name="connsiteY12" fmla="*/ 767443 h 1006929"/>
            <a:gd name="connsiteX13" fmla="*/ 255814 w 1589314"/>
            <a:gd name="connsiteY13" fmla="*/ 800100 h 1006929"/>
            <a:gd name="connsiteX14" fmla="*/ 321129 w 1589314"/>
            <a:gd name="connsiteY14" fmla="*/ 751114 h 1006929"/>
            <a:gd name="connsiteX15" fmla="*/ 489857 w 1589314"/>
            <a:gd name="connsiteY15" fmla="*/ 827314 h 1006929"/>
            <a:gd name="connsiteX16" fmla="*/ 457200 w 1589314"/>
            <a:gd name="connsiteY16" fmla="*/ 859972 h 1006929"/>
            <a:gd name="connsiteX17" fmla="*/ 527957 w 1589314"/>
            <a:gd name="connsiteY17" fmla="*/ 914400 h 1006929"/>
            <a:gd name="connsiteX18" fmla="*/ 598714 w 1589314"/>
            <a:gd name="connsiteY18" fmla="*/ 870857 h 1006929"/>
            <a:gd name="connsiteX19" fmla="*/ 669471 w 1589314"/>
            <a:gd name="connsiteY19" fmla="*/ 925286 h 1006929"/>
            <a:gd name="connsiteX20" fmla="*/ 664029 w 1589314"/>
            <a:gd name="connsiteY20" fmla="*/ 990600 h 1006929"/>
            <a:gd name="connsiteX21" fmla="*/ 729343 w 1589314"/>
            <a:gd name="connsiteY21" fmla="*/ 1006929 h 1006929"/>
            <a:gd name="connsiteX22" fmla="*/ 810986 w 1589314"/>
            <a:gd name="connsiteY22" fmla="*/ 957943 h 1006929"/>
            <a:gd name="connsiteX23" fmla="*/ 849086 w 1589314"/>
            <a:gd name="connsiteY23" fmla="*/ 985157 h 1006929"/>
            <a:gd name="connsiteX24" fmla="*/ 859971 w 1589314"/>
            <a:gd name="connsiteY24" fmla="*/ 925286 h 1006929"/>
            <a:gd name="connsiteX25" fmla="*/ 892629 w 1589314"/>
            <a:gd name="connsiteY25" fmla="*/ 908957 h 1006929"/>
            <a:gd name="connsiteX26" fmla="*/ 843643 w 1589314"/>
            <a:gd name="connsiteY26" fmla="*/ 849086 h 1006929"/>
            <a:gd name="connsiteX27" fmla="*/ 952500 w 1589314"/>
            <a:gd name="connsiteY27" fmla="*/ 707572 h 1006929"/>
            <a:gd name="connsiteX28" fmla="*/ 1066800 w 1589314"/>
            <a:gd name="connsiteY28" fmla="*/ 778329 h 1006929"/>
            <a:gd name="connsiteX29" fmla="*/ 1159329 w 1589314"/>
            <a:gd name="connsiteY29" fmla="*/ 696686 h 1006929"/>
            <a:gd name="connsiteX30" fmla="*/ 1262743 w 1589314"/>
            <a:gd name="connsiteY30" fmla="*/ 740229 h 1006929"/>
            <a:gd name="connsiteX31" fmla="*/ 1257300 w 1589314"/>
            <a:gd name="connsiteY31" fmla="*/ 789214 h 1006929"/>
            <a:gd name="connsiteX32" fmla="*/ 1317171 w 1589314"/>
            <a:gd name="connsiteY32" fmla="*/ 800100 h 1006929"/>
            <a:gd name="connsiteX33" fmla="*/ 1409700 w 1589314"/>
            <a:gd name="connsiteY33" fmla="*/ 729343 h 1006929"/>
            <a:gd name="connsiteX34" fmla="*/ 1458686 w 1589314"/>
            <a:gd name="connsiteY34" fmla="*/ 723900 h 1006929"/>
            <a:gd name="connsiteX35" fmla="*/ 1475014 w 1589314"/>
            <a:gd name="connsiteY35" fmla="*/ 658586 h 1006929"/>
            <a:gd name="connsiteX36" fmla="*/ 1377043 w 1589314"/>
            <a:gd name="connsiteY36" fmla="*/ 576943 h 1006929"/>
            <a:gd name="connsiteX37" fmla="*/ 1360714 w 1589314"/>
            <a:gd name="connsiteY37" fmla="*/ 478972 h 1006929"/>
            <a:gd name="connsiteX38" fmla="*/ 1420586 w 1589314"/>
            <a:gd name="connsiteY38" fmla="*/ 435429 h 1006929"/>
            <a:gd name="connsiteX39" fmla="*/ 1480457 w 1589314"/>
            <a:gd name="connsiteY39" fmla="*/ 478972 h 1006929"/>
            <a:gd name="connsiteX40" fmla="*/ 1480457 w 1589314"/>
            <a:gd name="connsiteY40" fmla="*/ 397329 h 1006929"/>
            <a:gd name="connsiteX41" fmla="*/ 1529443 w 1589314"/>
            <a:gd name="connsiteY41" fmla="*/ 370114 h 1006929"/>
            <a:gd name="connsiteX42" fmla="*/ 1540329 w 1589314"/>
            <a:gd name="connsiteY42" fmla="*/ 424543 h 1006929"/>
            <a:gd name="connsiteX43" fmla="*/ 1589314 w 1589314"/>
            <a:gd name="connsiteY43" fmla="*/ 353786 h 1006929"/>
            <a:gd name="connsiteX44" fmla="*/ 1572986 w 1589314"/>
            <a:gd name="connsiteY44" fmla="*/ 244929 h 1006929"/>
            <a:gd name="connsiteX45" fmla="*/ 1469571 w 1589314"/>
            <a:gd name="connsiteY45" fmla="*/ 255814 h 1006929"/>
            <a:gd name="connsiteX46" fmla="*/ 1382486 w 1589314"/>
            <a:gd name="connsiteY46" fmla="*/ 174172 h 1006929"/>
            <a:gd name="connsiteX47" fmla="*/ 1317171 w 1589314"/>
            <a:gd name="connsiteY47" fmla="*/ 195943 h 1006929"/>
            <a:gd name="connsiteX48" fmla="*/ 1191986 w 1589314"/>
            <a:gd name="connsiteY48" fmla="*/ 70757 h 1006929"/>
            <a:gd name="connsiteX49" fmla="*/ 1121229 w 1589314"/>
            <a:gd name="connsiteY49" fmla="*/ 103414 h 1006929"/>
            <a:gd name="connsiteX50" fmla="*/ 1050471 w 1589314"/>
            <a:gd name="connsiteY50" fmla="*/ 0 h 1006929"/>
            <a:gd name="connsiteX51" fmla="*/ 930729 w 1589314"/>
            <a:gd name="connsiteY51" fmla="*/ 152400 h 1006929"/>
            <a:gd name="connsiteX52" fmla="*/ 734786 w 1589314"/>
            <a:gd name="connsiteY52" fmla="*/ 250372 h 1006929"/>
            <a:gd name="connsiteX53" fmla="*/ 560614 w 1589314"/>
            <a:gd name="connsiteY53" fmla="*/ 125186 h 1006929"/>
            <a:gd name="connsiteX54" fmla="*/ 517071 w 1589314"/>
            <a:gd name="connsiteY54" fmla="*/ 179614 h 1006929"/>
            <a:gd name="connsiteX55" fmla="*/ 419100 w 1589314"/>
            <a:gd name="connsiteY55" fmla="*/ 157843 h 1006929"/>
            <a:gd name="connsiteX0" fmla="*/ 419100 w 1589314"/>
            <a:gd name="connsiteY0" fmla="*/ 157843 h 1006929"/>
            <a:gd name="connsiteX1" fmla="*/ 408214 w 1589314"/>
            <a:gd name="connsiteY1" fmla="*/ 266700 h 1006929"/>
            <a:gd name="connsiteX2" fmla="*/ 381000 w 1589314"/>
            <a:gd name="connsiteY2" fmla="*/ 288472 h 1006929"/>
            <a:gd name="connsiteX3" fmla="*/ 413657 w 1589314"/>
            <a:gd name="connsiteY3" fmla="*/ 381000 h 1006929"/>
            <a:gd name="connsiteX4" fmla="*/ 342900 w 1589314"/>
            <a:gd name="connsiteY4" fmla="*/ 419100 h 1006929"/>
            <a:gd name="connsiteX5" fmla="*/ 255814 w 1589314"/>
            <a:gd name="connsiteY5" fmla="*/ 386443 h 1006929"/>
            <a:gd name="connsiteX6" fmla="*/ 206829 w 1589314"/>
            <a:gd name="connsiteY6" fmla="*/ 424543 h 1006929"/>
            <a:gd name="connsiteX7" fmla="*/ 163286 w 1589314"/>
            <a:gd name="connsiteY7" fmla="*/ 402772 h 1006929"/>
            <a:gd name="connsiteX8" fmla="*/ 141514 w 1589314"/>
            <a:gd name="connsiteY8" fmla="*/ 457200 h 1006929"/>
            <a:gd name="connsiteX9" fmla="*/ 0 w 1589314"/>
            <a:gd name="connsiteY9" fmla="*/ 522514 h 1006929"/>
            <a:gd name="connsiteX10" fmla="*/ 97971 w 1589314"/>
            <a:gd name="connsiteY10" fmla="*/ 636814 h 1006929"/>
            <a:gd name="connsiteX11" fmla="*/ 200373 w 1589314"/>
            <a:gd name="connsiteY11" fmla="*/ 743291 h 1006929"/>
            <a:gd name="connsiteX12" fmla="*/ 206829 w 1589314"/>
            <a:gd name="connsiteY12" fmla="*/ 767443 h 1006929"/>
            <a:gd name="connsiteX13" fmla="*/ 248675 w 1589314"/>
            <a:gd name="connsiteY13" fmla="*/ 814387 h 1006929"/>
            <a:gd name="connsiteX14" fmla="*/ 321129 w 1589314"/>
            <a:gd name="connsiteY14" fmla="*/ 751114 h 1006929"/>
            <a:gd name="connsiteX15" fmla="*/ 489857 w 1589314"/>
            <a:gd name="connsiteY15" fmla="*/ 827314 h 1006929"/>
            <a:gd name="connsiteX16" fmla="*/ 457200 w 1589314"/>
            <a:gd name="connsiteY16" fmla="*/ 859972 h 1006929"/>
            <a:gd name="connsiteX17" fmla="*/ 527957 w 1589314"/>
            <a:gd name="connsiteY17" fmla="*/ 914400 h 1006929"/>
            <a:gd name="connsiteX18" fmla="*/ 598714 w 1589314"/>
            <a:gd name="connsiteY18" fmla="*/ 870857 h 1006929"/>
            <a:gd name="connsiteX19" fmla="*/ 669471 w 1589314"/>
            <a:gd name="connsiteY19" fmla="*/ 925286 h 1006929"/>
            <a:gd name="connsiteX20" fmla="*/ 664029 w 1589314"/>
            <a:gd name="connsiteY20" fmla="*/ 990600 h 1006929"/>
            <a:gd name="connsiteX21" fmla="*/ 729343 w 1589314"/>
            <a:gd name="connsiteY21" fmla="*/ 1006929 h 1006929"/>
            <a:gd name="connsiteX22" fmla="*/ 810986 w 1589314"/>
            <a:gd name="connsiteY22" fmla="*/ 957943 h 1006929"/>
            <a:gd name="connsiteX23" fmla="*/ 849086 w 1589314"/>
            <a:gd name="connsiteY23" fmla="*/ 985157 h 1006929"/>
            <a:gd name="connsiteX24" fmla="*/ 859971 w 1589314"/>
            <a:gd name="connsiteY24" fmla="*/ 925286 h 1006929"/>
            <a:gd name="connsiteX25" fmla="*/ 892629 w 1589314"/>
            <a:gd name="connsiteY25" fmla="*/ 908957 h 1006929"/>
            <a:gd name="connsiteX26" fmla="*/ 843643 w 1589314"/>
            <a:gd name="connsiteY26" fmla="*/ 849086 h 1006929"/>
            <a:gd name="connsiteX27" fmla="*/ 952500 w 1589314"/>
            <a:gd name="connsiteY27" fmla="*/ 707572 h 1006929"/>
            <a:gd name="connsiteX28" fmla="*/ 1066800 w 1589314"/>
            <a:gd name="connsiteY28" fmla="*/ 778329 h 1006929"/>
            <a:gd name="connsiteX29" fmla="*/ 1159329 w 1589314"/>
            <a:gd name="connsiteY29" fmla="*/ 696686 h 1006929"/>
            <a:gd name="connsiteX30" fmla="*/ 1262743 w 1589314"/>
            <a:gd name="connsiteY30" fmla="*/ 740229 h 1006929"/>
            <a:gd name="connsiteX31" fmla="*/ 1257300 w 1589314"/>
            <a:gd name="connsiteY31" fmla="*/ 789214 h 1006929"/>
            <a:gd name="connsiteX32" fmla="*/ 1317171 w 1589314"/>
            <a:gd name="connsiteY32" fmla="*/ 800100 h 1006929"/>
            <a:gd name="connsiteX33" fmla="*/ 1409700 w 1589314"/>
            <a:gd name="connsiteY33" fmla="*/ 729343 h 1006929"/>
            <a:gd name="connsiteX34" fmla="*/ 1458686 w 1589314"/>
            <a:gd name="connsiteY34" fmla="*/ 723900 h 1006929"/>
            <a:gd name="connsiteX35" fmla="*/ 1475014 w 1589314"/>
            <a:gd name="connsiteY35" fmla="*/ 658586 h 1006929"/>
            <a:gd name="connsiteX36" fmla="*/ 1377043 w 1589314"/>
            <a:gd name="connsiteY36" fmla="*/ 576943 h 1006929"/>
            <a:gd name="connsiteX37" fmla="*/ 1360714 w 1589314"/>
            <a:gd name="connsiteY37" fmla="*/ 478972 h 1006929"/>
            <a:gd name="connsiteX38" fmla="*/ 1420586 w 1589314"/>
            <a:gd name="connsiteY38" fmla="*/ 435429 h 1006929"/>
            <a:gd name="connsiteX39" fmla="*/ 1480457 w 1589314"/>
            <a:gd name="connsiteY39" fmla="*/ 478972 h 1006929"/>
            <a:gd name="connsiteX40" fmla="*/ 1480457 w 1589314"/>
            <a:gd name="connsiteY40" fmla="*/ 397329 h 1006929"/>
            <a:gd name="connsiteX41" fmla="*/ 1529443 w 1589314"/>
            <a:gd name="connsiteY41" fmla="*/ 370114 h 1006929"/>
            <a:gd name="connsiteX42" fmla="*/ 1540329 w 1589314"/>
            <a:gd name="connsiteY42" fmla="*/ 424543 h 1006929"/>
            <a:gd name="connsiteX43" fmla="*/ 1589314 w 1589314"/>
            <a:gd name="connsiteY43" fmla="*/ 353786 h 1006929"/>
            <a:gd name="connsiteX44" fmla="*/ 1572986 w 1589314"/>
            <a:gd name="connsiteY44" fmla="*/ 244929 h 1006929"/>
            <a:gd name="connsiteX45" fmla="*/ 1469571 w 1589314"/>
            <a:gd name="connsiteY45" fmla="*/ 255814 h 1006929"/>
            <a:gd name="connsiteX46" fmla="*/ 1382486 w 1589314"/>
            <a:gd name="connsiteY46" fmla="*/ 174172 h 1006929"/>
            <a:gd name="connsiteX47" fmla="*/ 1317171 w 1589314"/>
            <a:gd name="connsiteY47" fmla="*/ 195943 h 1006929"/>
            <a:gd name="connsiteX48" fmla="*/ 1191986 w 1589314"/>
            <a:gd name="connsiteY48" fmla="*/ 70757 h 1006929"/>
            <a:gd name="connsiteX49" fmla="*/ 1121229 w 1589314"/>
            <a:gd name="connsiteY49" fmla="*/ 103414 h 1006929"/>
            <a:gd name="connsiteX50" fmla="*/ 1050471 w 1589314"/>
            <a:gd name="connsiteY50" fmla="*/ 0 h 1006929"/>
            <a:gd name="connsiteX51" fmla="*/ 930729 w 1589314"/>
            <a:gd name="connsiteY51" fmla="*/ 152400 h 1006929"/>
            <a:gd name="connsiteX52" fmla="*/ 734786 w 1589314"/>
            <a:gd name="connsiteY52" fmla="*/ 250372 h 1006929"/>
            <a:gd name="connsiteX53" fmla="*/ 560614 w 1589314"/>
            <a:gd name="connsiteY53" fmla="*/ 125186 h 1006929"/>
            <a:gd name="connsiteX54" fmla="*/ 517071 w 1589314"/>
            <a:gd name="connsiteY54" fmla="*/ 179614 h 1006929"/>
            <a:gd name="connsiteX55" fmla="*/ 419100 w 1589314"/>
            <a:gd name="connsiteY55" fmla="*/ 157843 h 1006929"/>
            <a:gd name="connsiteX0" fmla="*/ 419100 w 1589314"/>
            <a:gd name="connsiteY0" fmla="*/ 157843 h 1006929"/>
            <a:gd name="connsiteX1" fmla="*/ 408214 w 1589314"/>
            <a:gd name="connsiteY1" fmla="*/ 266700 h 1006929"/>
            <a:gd name="connsiteX2" fmla="*/ 381000 w 1589314"/>
            <a:gd name="connsiteY2" fmla="*/ 288472 h 1006929"/>
            <a:gd name="connsiteX3" fmla="*/ 413657 w 1589314"/>
            <a:gd name="connsiteY3" fmla="*/ 381000 h 1006929"/>
            <a:gd name="connsiteX4" fmla="*/ 342900 w 1589314"/>
            <a:gd name="connsiteY4" fmla="*/ 419100 h 1006929"/>
            <a:gd name="connsiteX5" fmla="*/ 255814 w 1589314"/>
            <a:gd name="connsiteY5" fmla="*/ 386443 h 1006929"/>
            <a:gd name="connsiteX6" fmla="*/ 206829 w 1589314"/>
            <a:gd name="connsiteY6" fmla="*/ 424543 h 1006929"/>
            <a:gd name="connsiteX7" fmla="*/ 163286 w 1589314"/>
            <a:gd name="connsiteY7" fmla="*/ 402772 h 1006929"/>
            <a:gd name="connsiteX8" fmla="*/ 141514 w 1589314"/>
            <a:gd name="connsiteY8" fmla="*/ 457200 h 1006929"/>
            <a:gd name="connsiteX9" fmla="*/ 0 w 1589314"/>
            <a:gd name="connsiteY9" fmla="*/ 522514 h 1006929"/>
            <a:gd name="connsiteX10" fmla="*/ 97971 w 1589314"/>
            <a:gd name="connsiteY10" fmla="*/ 636814 h 1006929"/>
            <a:gd name="connsiteX11" fmla="*/ 200373 w 1589314"/>
            <a:gd name="connsiteY11" fmla="*/ 743291 h 1006929"/>
            <a:gd name="connsiteX12" fmla="*/ 216348 w 1589314"/>
            <a:gd name="connsiteY12" fmla="*/ 762681 h 1006929"/>
            <a:gd name="connsiteX13" fmla="*/ 248675 w 1589314"/>
            <a:gd name="connsiteY13" fmla="*/ 814387 h 1006929"/>
            <a:gd name="connsiteX14" fmla="*/ 321129 w 1589314"/>
            <a:gd name="connsiteY14" fmla="*/ 751114 h 1006929"/>
            <a:gd name="connsiteX15" fmla="*/ 489857 w 1589314"/>
            <a:gd name="connsiteY15" fmla="*/ 827314 h 1006929"/>
            <a:gd name="connsiteX16" fmla="*/ 457200 w 1589314"/>
            <a:gd name="connsiteY16" fmla="*/ 859972 h 1006929"/>
            <a:gd name="connsiteX17" fmla="*/ 527957 w 1589314"/>
            <a:gd name="connsiteY17" fmla="*/ 914400 h 1006929"/>
            <a:gd name="connsiteX18" fmla="*/ 598714 w 1589314"/>
            <a:gd name="connsiteY18" fmla="*/ 870857 h 1006929"/>
            <a:gd name="connsiteX19" fmla="*/ 669471 w 1589314"/>
            <a:gd name="connsiteY19" fmla="*/ 925286 h 1006929"/>
            <a:gd name="connsiteX20" fmla="*/ 664029 w 1589314"/>
            <a:gd name="connsiteY20" fmla="*/ 990600 h 1006929"/>
            <a:gd name="connsiteX21" fmla="*/ 729343 w 1589314"/>
            <a:gd name="connsiteY21" fmla="*/ 1006929 h 1006929"/>
            <a:gd name="connsiteX22" fmla="*/ 810986 w 1589314"/>
            <a:gd name="connsiteY22" fmla="*/ 957943 h 1006929"/>
            <a:gd name="connsiteX23" fmla="*/ 849086 w 1589314"/>
            <a:gd name="connsiteY23" fmla="*/ 985157 h 1006929"/>
            <a:gd name="connsiteX24" fmla="*/ 859971 w 1589314"/>
            <a:gd name="connsiteY24" fmla="*/ 925286 h 1006929"/>
            <a:gd name="connsiteX25" fmla="*/ 892629 w 1589314"/>
            <a:gd name="connsiteY25" fmla="*/ 908957 h 1006929"/>
            <a:gd name="connsiteX26" fmla="*/ 843643 w 1589314"/>
            <a:gd name="connsiteY26" fmla="*/ 849086 h 1006929"/>
            <a:gd name="connsiteX27" fmla="*/ 952500 w 1589314"/>
            <a:gd name="connsiteY27" fmla="*/ 707572 h 1006929"/>
            <a:gd name="connsiteX28" fmla="*/ 1066800 w 1589314"/>
            <a:gd name="connsiteY28" fmla="*/ 778329 h 1006929"/>
            <a:gd name="connsiteX29" fmla="*/ 1159329 w 1589314"/>
            <a:gd name="connsiteY29" fmla="*/ 696686 h 1006929"/>
            <a:gd name="connsiteX30" fmla="*/ 1262743 w 1589314"/>
            <a:gd name="connsiteY30" fmla="*/ 740229 h 1006929"/>
            <a:gd name="connsiteX31" fmla="*/ 1257300 w 1589314"/>
            <a:gd name="connsiteY31" fmla="*/ 789214 h 1006929"/>
            <a:gd name="connsiteX32" fmla="*/ 1317171 w 1589314"/>
            <a:gd name="connsiteY32" fmla="*/ 800100 h 1006929"/>
            <a:gd name="connsiteX33" fmla="*/ 1409700 w 1589314"/>
            <a:gd name="connsiteY33" fmla="*/ 729343 h 1006929"/>
            <a:gd name="connsiteX34" fmla="*/ 1458686 w 1589314"/>
            <a:gd name="connsiteY34" fmla="*/ 723900 h 1006929"/>
            <a:gd name="connsiteX35" fmla="*/ 1475014 w 1589314"/>
            <a:gd name="connsiteY35" fmla="*/ 658586 h 1006929"/>
            <a:gd name="connsiteX36" fmla="*/ 1377043 w 1589314"/>
            <a:gd name="connsiteY36" fmla="*/ 576943 h 1006929"/>
            <a:gd name="connsiteX37" fmla="*/ 1360714 w 1589314"/>
            <a:gd name="connsiteY37" fmla="*/ 478972 h 1006929"/>
            <a:gd name="connsiteX38" fmla="*/ 1420586 w 1589314"/>
            <a:gd name="connsiteY38" fmla="*/ 435429 h 1006929"/>
            <a:gd name="connsiteX39" fmla="*/ 1480457 w 1589314"/>
            <a:gd name="connsiteY39" fmla="*/ 478972 h 1006929"/>
            <a:gd name="connsiteX40" fmla="*/ 1480457 w 1589314"/>
            <a:gd name="connsiteY40" fmla="*/ 397329 h 1006929"/>
            <a:gd name="connsiteX41" fmla="*/ 1529443 w 1589314"/>
            <a:gd name="connsiteY41" fmla="*/ 370114 h 1006929"/>
            <a:gd name="connsiteX42" fmla="*/ 1540329 w 1589314"/>
            <a:gd name="connsiteY42" fmla="*/ 424543 h 1006929"/>
            <a:gd name="connsiteX43" fmla="*/ 1589314 w 1589314"/>
            <a:gd name="connsiteY43" fmla="*/ 353786 h 1006929"/>
            <a:gd name="connsiteX44" fmla="*/ 1572986 w 1589314"/>
            <a:gd name="connsiteY44" fmla="*/ 244929 h 1006929"/>
            <a:gd name="connsiteX45" fmla="*/ 1469571 w 1589314"/>
            <a:gd name="connsiteY45" fmla="*/ 255814 h 1006929"/>
            <a:gd name="connsiteX46" fmla="*/ 1382486 w 1589314"/>
            <a:gd name="connsiteY46" fmla="*/ 174172 h 1006929"/>
            <a:gd name="connsiteX47" fmla="*/ 1317171 w 1589314"/>
            <a:gd name="connsiteY47" fmla="*/ 195943 h 1006929"/>
            <a:gd name="connsiteX48" fmla="*/ 1191986 w 1589314"/>
            <a:gd name="connsiteY48" fmla="*/ 70757 h 1006929"/>
            <a:gd name="connsiteX49" fmla="*/ 1121229 w 1589314"/>
            <a:gd name="connsiteY49" fmla="*/ 103414 h 1006929"/>
            <a:gd name="connsiteX50" fmla="*/ 1050471 w 1589314"/>
            <a:gd name="connsiteY50" fmla="*/ 0 h 1006929"/>
            <a:gd name="connsiteX51" fmla="*/ 930729 w 1589314"/>
            <a:gd name="connsiteY51" fmla="*/ 152400 h 1006929"/>
            <a:gd name="connsiteX52" fmla="*/ 734786 w 1589314"/>
            <a:gd name="connsiteY52" fmla="*/ 250372 h 1006929"/>
            <a:gd name="connsiteX53" fmla="*/ 560614 w 1589314"/>
            <a:gd name="connsiteY53" fmla="*/ 125186 h 1006929"/>
            <a:gd name="connsiteX54" fmla="*/ 517071 w 1589314"/>
            <a:gd name="connsiteY54" fmla="*/ 179614 h 1006929"/>
            <a:gd name="connsiteX55" fmla="*/ 419100 w 1589314"/>
            <a:gd name="connsiteY55" fmla="*/ 157843 h 1006929"/>
            <a:gd name="connsiteX0" fmla="*/ 411961 w 1589314"/>
            <a:gd name="connsiteY0" fmla="*/ 164987 h 1006929"/>
            <a:gd name="connsiteX1" fmla="*/ 408214 w 1589314"/>
            <a:gd name="connsiteY1" fmla="*/ 266700 h 1006929"/>
            <a:gd name="connsiteX2" fmla="*/ 381000 w 1589314"/>
            <a:gd name="connsiteY2" fmla="*/ 288472 h 1006929"/>
            <a:gd name="connsiteX3" fmla="*/ 413657 w 1589314"/>
            <a:gd name="connsiteY3" fmla="*/ 381000 h 1006929"/>
            <a:gd name="connsiteX4" fmla="*/ 342900 w 1589314"/>
            <a:gd name="connsiteY4" fmla="*/ 419100 h 1006929"/>
            <a:gd name="connsiteX5" fmla="*/ 255814 w 1589314"/>
            <a:gd name="connsiteY5" fmla="*/ 386443 h 1006929"/>
            <a:gd name="connsiteX6" fmla="*/ 206829 w 1589314"/>
            <a:gd name="connsiteY6" fmla="*/ 424543 h 1006929"/>
            <a:gd name="connsiteX7" fmla="*/ 163286 w 1589314"/>
            <a:gd name="connsiteY7" fmla="*/ 402772 h 1006929"/>
            <a:gd name="connsiteX8" fmla="*/ 141514 w 1589314"/>
            <a:gd name="connsiteY8" fmla="*/ 457200 h 1006929"/>
            <a:gd name="connsiteX9" fmla="*/ 0 w 1589314"/>
            <a:gd name="connsiteY9" fmla="*/ 522514 h 1006929"/>
            <a:gd name="connsiteX10" fmla="*/ 97971 w 1589314"/>
            <a:gd name="connsiteY10" fmla="*/ 636814 h 1006929"/>
            <a:gd name="connsiteX11" fmla="*/ 200373 w 1589314"/>
            <a:gd name="connsiteY11" fmla="*/ 743291 h 1006929"/>
            <a:gd name="connsiteX12" fmla="*/ 216348 w 1589314"/>
            <a:gd name="connsiteY12" fmla="*/ 762681 h 1006929"/>
            <a:gd name="connsiteX13" fmla="*/ 248675 w 1589314"/>
            <a:gd name="connsiteY13" fmla="*/ 814387 h 1006929"/>
            <a:gd name="connsiteX14" fmla="*/ 321129 w 1589314"/>
            <a:gd name="connsiteY14" fmla="*/ 751114 h 1006929"/>
            <a:gd name="connsiteX15" fmla="*/ 489857 w 1589314"/>
            <a:gd name="connsiteY15" fmla="*/ 827314 h 1006929"/>
            <a:gd name="connsiteX16" fmla="*/ 457200 w 1589314"/>
            <a:gd name="connsiteY16" fmla="*/ 859972 h 1006929"/>
            <a:gd name="connsiteX17" fmla="*/ 527957 w 1589314"/>
            <a:gd name="connsiteY17" fmla="*/ 914400 h 1006929"/>
            <a:gd name="connsiteX18" fmla="*/ 598714 w 1589314"/>
            <a:gd name="connsiteY18" fmla="*/ 870857 h 1006929"/>
            <a:gd name="connsiteX19" fmla="*/ 669471 w 1589314"/>
            <a:gd name="connsiteY19" fmla="*/ 925286 h 1006929"/>
            <a:gd name="connsiteX20" fmla="*/ 664029 w 1589314"/>
            <a:gd name="connsiteY20" fmla="*/ 990600 h 1006929"/>
            <a:gd name="connsiteX21" fmla="*/ 729343 w 1589314"/>
            <a:gd name="connsiteY21" fmla="*/ 1006929 h 1006929"/>
            <a:gd name="connsiteX22" fmla="*/ 810986 w 1589314"/>
            <a:gd name="connsiteY22" fmla="*/ 957943 h 1006929"/>
            <a:gd name="connsiteX23" fmla="*/ 849086 w 1589314"/>
            <a:gd name="connsiteY23" fmla="*/ 985157 h 1006929"/>
            <a:gd name="connsiteX24" fmla="*/ 859971 w 1589314"/>
            <a:gd name="connsiteY24" fmla="*/ 925286 h 1006929"/>
            <a:gd name="connsiteX25" fmla="*/ 892629 w 1589314"/>
            <a:gd name="connsiteY25" fmla="*/ 908957 h 1006929"/>
            <a:gd name="connsiteX26" fmla="*/ 843643 w 1589314"/>
            <a:gd name="connsiteY26" fmla="*/ 849086 h 1006929"/>
            <a:gd name="connsiteX27" fmla="*/ 952500 w 1589314"/>
            <a:gd name="connsiteY27" fmla="*/ 707572 h 1006929"/>
            <a:gd name="connsiteX28" fmla="*/ 1066800 w 1589314"/>
            <a:gd name="connsiteY28" fmla="*/ 778329 h 1006929"/>
            <a:gd name="connsiteX29" fmla="*/ 1159329 w 1589314"/>
            <a:gd name="connsiteY29" fmla="*/ 696686 h 1006929"/>
            <a:gd name="connsiteX30" fmla="*/ 1262743 w 1589314"/>
            <a:gd name="connsiteY30" fmla="*/ 740229 h 1006929"/>
            <a:gd name="connsiteX31" fmla="*/ 1257300 w 1589314"/>
            <a:gd name="connsiteY31" fmla="*/ 789214 h 1006929"/>
            <a:gd name="connsiteX32" fmla="*/ 1317171 w 1589314"/>
            <a:gd name="connsiteY32" fmla="*/ 800100 h 1006929"/>
            <a:gd name="connsiteX33" fmla="*/ 1409700 w 1589314"/>
            <a:gd name="connsiteY33" fmla="*/ 729343 h 1006929"/>
            <a:gd name="connsiteX34" fmla="*/ 1458686 w 1589314"/>
            <a:gd name="connsiteY34" fmla="*/ 723900 h 1006929"/>
            <a:gd name="connsiteX35" fmla="*/ 1475014 w 1589314"/>
            <a:gd name="connsiteY35" fmla="*/ 658586 h 1006929"/>
            <a:gd name="connsiteX36" fmla="*/ 1377043 w 1589314"/>
            <a:gd name="connsiteY36" fmla="*/ 576943 h 1006929"/>
            <a:gd name="connsiteX37" fmla="*/ 1360714 w 1589314"/>
            <a:gd name="connsiteY37" fmla="*/ 478972 h 1006929"/>
            <a:gd name="connsiteX38" fmla="*/ 1420586 w 1589314"/>
            <a:gd name="connsiteY38" fmla="*/ 435429 h 1006929"/>
            <a:gd name="connsiteX39" fmla="*/ 1480457 w 1589314"/>
            <a:gd name="connsiteY39" fmla="*/ 478972 h 1006929"/>
            <a:gd name="connsiteX40" fmla="*/ 1480457 w 1589314"/>
            <a:gd name="connsiteY40" fmla="*/ 397329 h 1006929"/>
            <a:gd name="connsiteX41" fmla="*/ 1529443 w 1589314"/>
            <a:gd name="connsiteY41" fmla="*/ 370114 h 1006929"/>
            <a:gd name="connsiteX42" fmla="*/ 1540329 w 1589314"/>
            <a:gd name="connsiteY42" fmla="*/ 424543 h 1006929"/>
            <a:gd name="connsiteX43" fmla="*/ 1589314 w 1589314"/>
            <a:gd name="connsiteY43" fmla="*/ 353786 h 1006929"/>
            <a:gd name="connsiteX44" fmla="*/ 1572986 w 1589314"/>
            <a:gd name="connsiteY44" fmla="*/ 244929 h 1006929"/>
            <a:gd name="connsiteX45" fmla="*/ 1469571 w 1589314"/>
            <a:gd name="connsiteY45" fmla="*/ 255814 h 1006929"/>
            <a:gd name="connsiteX46" fmla="*/ 1382486 w 1589314"/>
            <a:gd name="connsiteY46" fmla="*/ 174172 h 1006929"/>
            <a:gd name="connsiteX47" fmla="*/ 1317171 w 1589314"/>
            <a:gd name="connsiteY47" fmla="*/ 195943 h 1006929"/>
            <a:gd name="connsiteX48" fmla="*/ 1191986 w 1589314"/>
            <a:gd name="connsiteY48" fmla="*/ 70757 h 1006929"/>
            <a:gd name="connsiteX49" fmla="*/ 1121229 w 1589314"/>
            <a:gd name="connsiteY49" fmla="*/ 103414 h 1006929"/>
            <a:gd name="connsiteX50" fmla="*/ 1050471 w 1589314"/>
            <a:gd name="connsiteY50" fmla="*/ 0 h 1006929"/>
            <a:gd name="connsiteX51" fmla="*/ 930729 w 1589314"/>
            <a:gd name="connsiteY51" fmla="*/ 152400 h 1006929"/>
            <a:gd name="connsiteX52" fmla="*/ 734786 w 1589314"/>
            <a:gd name="connsiteY52" fmla="*/ 250372 h 1006929"/>
            <a:gd name="connsiteX53" fmla="*/ 560614 w 1589314"/>
            <a:gd name="connsiteY53" fmla="*/ 125186 h 1006929"/>
            <a:gd name="connsiteX54" fmla="*/ 517071 w 1589314"/>
            <a:gd name="connsiteY54" fmla="*/ 179614 h 1006929"/>
            <a:gd name="connsiteX55" fmla="*/ 411961 w 1589314"/>
            <a:gd name="connsiteY55" fmla="*/ 164987 h 1006929"/>
            <a:gd name="connsiteX0" fmla="*/ 411961 w 1589314"/>
            <a:gd name="connsiteY0" fmla="*/ 167369 h 1009311"/>
            <a:gd name="connsiteX1" fmla="*/ 408214 w 1589314"/>
            <a:gd name="connsiteY1" fmla="*/ 269082 h 1009311"/>
            <a:gd name="connsiteX2" fmla="*/ 381000 w 1589314"/>
            <a:gd name="connsiteY2" fmla="*/ 290854 h 1009311"/>
            <a:gd name="connsiteX3" fmla="*/ 413657 w 1589314"/>
            <a:gd name="connsiteY3" fmla="*/ 383382 h 1009311"/>
            <a:gd name="connsiteX4" fmla="*/ 342900 w 1589314"/>
            <a:gd name="connsiteY4" fmla="*/ 421482 h 1009311"/>
            <a:gd name="connsiteX5" fmla="*/ 255814 w 1589314"/>
            <a:gd name="connsiteY5" fmla="*/ 388825 h 1009311"/>
            <a:gd name="connsiteX6" fmla="*/ 206829 w 1589314"/>
            <a:gd name="connsiteY6" fmla="*/ 426925 h 1009311"/>
            <a:gd name="connsiteX7" fmla="*/ 163286 w 1589314"/>
            <a:gd name="connsiteY7" fmla="*/ 405154 h 1009311"/>
            <a:gd name="connsiteX8" fmla="*/ 141514 w 1589314"/>
            <a:gd name="connsiteY8" fmla="*/ 459582 h 1009311"/>
            <a:gd name="connsiteX9" fmla="*/ 0 w 1589314"/>
            <a:gd name="connsiteY9" fmla="*/ 524896 h 1009311"/>
            <a:gd name="connsiteX10" fmla="*/ 97971 w 1589314"/>
            <a:gd name="connsiteY10" fmla="*/ 639196 h 1009311"/>
            <a:gd name="connsiteX11" fmla="*/ 200373 w 1589314"/>
            <a:gd name="connsiteY11" fmla="*/ 745673 h 1009311"/>
            <a:gd name="connsiteX12" fmla="*/ 216348 w 1589314"/>
            <a:gd name="connsiteY12" fmla="*/ 765063 h 1009311"/>
            <a:gd name="connsiteX13" fmla="*/ 248675 w 1589314"/>
            <a:gd name="connsiteY13" fmla="*/ 816769 h 1009311"/>
            <a:gd name="connsiteX14" fmla="*/ 321129 w 1589314"/>
            <a:gd name="connsiteY14" fmla="*/ 753496 h 1009311"/>
            <a:gd name="connsiteX15" fmla="*/ 489857 w 1589314"/>
            <a:gd name="connsiteY15" fmla="*/ 829696 h 1009311"/>
            <a:gd name="connsiteX16" fmla="*/ 457200 w 1589314"/>
            <a:gd name="connsiteY16" fmla="*/ 862354 h 1009311"/>
            <a:gd name="connsiteX17" fmla="*/ 527957 w 1589314"/>
            <a:gd name="connsiteY17" fmla="*/ 916782 h 1009311"/>
            <a:gd name="connsiteX18" fmla="*/ 598714 w 1589314"/>
            <a:gd name="connsiteY18" fmla="*/ 873239 h 1009311"/>
            <a:gd name="connsiteX19" fmla="*/ 669471 w 1589314"/>
            <a:gd name="connsiteY19" fmla="*/ 927668 h 1009311"/>
            <a:gd name="connsiteX20" fmla="*/ 664029 w 1589314"/>
            <a:gd name="connsiteY20" fmla="*/ 992982 h 1009311"/>
            <a:gd name="connsiteX21" fmla="*/ 729343 w 1589314"/>
            <a:gd name="connsiteY21" fmla="*/ 1009311 h 1009311"/>
            <a:gd name="connsiteX22" fmla="*/ 810986 w 1589314"/>
            <a:gd name="connsiteY22" fmla="*/ 960325 h 1009311"/>
            <a:gd name="connsiteX23" fmla="*/ 849086 w 1589314"/>
            <a:gd name="connsiteY23" fmla="*/ 987539 h 1009311"/>
            <a:gd name="connsiteX24" fmla="*/ 859971 w 1589314"/>
            <a:gd name="connsiteY24" fmla="*/ 927668 h 1009311"/>
            <a:gd name="connsiteX25" fmla="*/ 892629 w 1589314"/>
            <a:gd name="connsiteY25" fmla="*/ 911339 h 1009311"/>
            <a:gd name="connsiteX26" fmla="*/ 843643 w 1589314"/>
            <a:gd name="connsiteY26" fmla="*/ 851468 h 1009311"/>
            <a:gd name="connsiteX27" fmla="*/ 952500 w 1589314"/>
            <a:gd name="connsiteY27" fmla="*/ 709954 h 1009311"/>
            <a:gd name="connsiteX28" fmla="*/ 1066800 w 1589314"/>
            <a:gd name="connsiteY28" fmla="*/ 780711 h 1009311"/>
            <a:gd name="connsiteX29" fmla="*/ 1159329 w 1589314"/>
            <a:gd name="connsiteY29" fmla="*/ 699068 h 1009311"/>
            <a:gd name="connsiteX30" fmla="*/ 1262743 w 1589314"/>
            <a:gd name="connsiteY30" fmla="*/ 742611 h 1009311"/>
            <a:gd name="connsiteX31" fmla="*/ 1257300 w 1589314"/>
            <a:gd name="connsiteY31" fmla="*/ 791596 h 1009311"/>
            <a:gd name="connsiteX32" fmla="*/ 1317171 w 1589314"/>
            <a:gd name="connsiteY32" fmla="*/ 802482 h 1009311"/>
            <a:gd name="connsiteX33" fmla="*/ 1409700 w 1589314"/>
            <a:gd name="connsiteY33" fmla="*/ 731725 h 1009311"/>
            <a:gd name="connsiteX34" fmla="*/ 1458686 w 1589314"/>
            <a:gd name="connsiteY34" fmla="*/ 726282 h 1009311"/>
            <a:gd name="connsiteX35" fmla="*/ 1475014 w 1589314"/>
            <a:gd name="connsiteY35" fmla="*/ 660968 h 1009311"/>
            <a:gd name="connsiteX36" fmla="*/ 1377043 w 1589314"/>
            <a:gd name="connsiteY36" fmla="*/ 579325 h 1009311"/>
            <a:gd name="connsiteX37" fmla="*/ 1360714 w 1589314"/>
            <a:gd name="connsiteY37" fmla="*/ 481354 h 1009311"/>
            <a:gd name="connsiteX38" fmla="*/ 1420586 w 1589314"/>
            <a:gd name="connsiteY38" fmla="*/ 437811 h 1009311"/>
            <a:gd name="connsiteX39" fmla="*/ 1480457 w 1589314"/>
            <a:gd name="connsiteY39" fmla="*/ 481354 h 1009311"/>
            <a:gd name="connsiteX40" fmla="*/ 1480457 w 1589314"/>
            <a:gd name="connsiteY40" fmla="*/ 399711 h 1009311"/>
            <a:gd name="connsiteX41" fmla="*/ 1529443 w 1589314"/>
            <a:gd name="connsiteY41" fmla="*/ 372496 h 1009311"/>
            <a:gd name="connsiteX42" fmla="*/ 1540329 w 1589314"/>
            <a:gd name="connsiteY42" fmla="*/ 426925 h 1009311"/>
            <a:gd name="connsiteX43" fmla="*/ 1589314 w 1589314"/>
            <a:gd name="connsiteY43" fmla="*/ 356168 h 1009311"/>
            <a:gd name="connsiteX44" fmla="*/ 1572986 w 1589314"/>
            <a:gd name="connsiteY44" fmla="*/ 247311 h 1009311"/>
            <a:gd name="connsiteX45" fmla="*/ 1469571 w 1589314"/>
            <a:gd name="connsiteY45" fmla="*/ 258196 h 1009311"/>
            <a:gd name="connsiteX46" fmla="*/ 1382486 w 1589314"/>
            <a:gd name="connsiteY46" fmla="*/ 176554 h 1009311"/>
            <a:gd name="connsiteX47" fmla="*/ 1317171 w 1589314"/>
            <a:gd name="connsiteY47" fmla="*/ 198325 h 1009311"/>
            <a:gd name="connsiteX48" fmla="*/ 1191986 w 1589314"/>
            <a:gd name="connsiteY48" fmla="*/ 73139 h 1009311"/>
            <a:gd name="connsiteX49" fmla="*/ 1121229 w 1589314"/>
            <a:gd name="connsiteY49" fmla="*/ 105796 h 1009311"/>
            <a:gd name="connsiteX50" fmla="*/ 1040953 w 1589314"/>
            <a:gd name="connsiteY50" fmla="*/ 0 h 1009311"/>
            <a:gd name="connsiteX51" fmla="*/ 930729 w 1589314"/>
            <a:gd name="connsiteY51" fmla="*/ 154782 h 1009311"/>
            <a:gd name="connsiteX52" fmla="*/ 734786 w 1589314"/>
            <a:gd name="connsiteY52" fmla="*/ 252754 h 1009311"/>
            <a:gd name="connsiteX53" fmla="*/ 560614 w 1589314"/>
            <a:gd name="connsiteY53" fmla="*/ 127568 h 1009311"/>
            <a:gd name="connsiteX54" fmla="*/ 517071 w 1589314"/>
            <a:gd name="connsiteY54" fmla="*/ 181996 h 1009311"/>
            <a:gd name="connsiteX55" fmla="*/ 411961 w 1589314"/>
            <a:gd name="connsiteY55" fmla="*/ 167369 h 1009311"/>
            <a:gd name="connsiteX0" fmla="*/ 411961 w 1589314"/>
            <a:gd name="connsiteY0" fmla="*/ 167369 h 1009311"/>
            <a:gd name="connsiteX1" fmla="*/ 408214 w 1589314"/>
            <a:gd name="connsiteY1" fmla="*/ 269082 h 1009311"/>
            <a:gd name="connsiteX2" fmla="*/ 381000 w 1589314"/>
            <a:gd name="connsiteY2" fmla="*/ 290854 h 1009311"/>
            <a:gd name="connsiteX3" fmla="*/ 413657 w 1589314"/>
            <a:gd name="connsiteY3" fmla="*/ 383382 h 1009311"/>
            <a:gd name="connsiteX4" fmla="*/ 342900 w 1589314"/>
            <a:gd name="connsiteY4" fmla="*/ 421482 h 1009311"/>
            <a:gd name="connsiteX5" fmla="*/ 255814 w 1589314"/>
            <a:gd name="connsiteY5" fmla="*/ 388825 h 1009311"/>
            <a:gd name="connsiteX6" fmla="*/ 206829 w 1589314"/>
            <a:gd name="connsiteY6" fmla="*/ 426925 h 1009311"/>
            <a:gd name="connsiteX7" fmla="*/ 163286 w 1589314"/>
            <a:gd name="connsiteY7" fmla="*/ 405154 h 1009311"/>
            <a:gd name="connsiteX8" fmla="*/ 141514 w 1589314"/>
            <a:gd name="connsiteY8" fmla="*/ 459582 h 1009311"/>
            <a:gd name="connsiteX9" fmla="*/ 0 w 1589314"/>
            <a:gd name="connsiteY9" fmla="*/ 524896 h 1009311"/>
            <a:gd name="connsiteX10" fmla="*/ 97971 w 1589314"/>
            <a:gd name="connsiteY10" fmla="*/ 639196 h 1009311"/>
            <a:gd name="connsiteX11" fmla="*/ 200373 w 1589314"/>
            <a:gd name="connsiteY11" fmla="*/ 745673 h 1009311"/>
            <a:gd name="connsiteX12" fmla="*/ 216348 w 1589314"/>
            <a:gd name="connsiteY12" fmla="*/ 765063 h 1009311"/>
            <a:gd name="connsiteX13" fmla="*/ 248675 w 1589314"/>
            <a:gd name="connsiteY13" fmla="*/ 816769 h 1009311"/>
            <a:gd name="connsiteX14" fmla="*/ 321129 w 1589314"/>
            <a:gd name="connsiteY14" fmla="*/ 753496 h 1009311"/>
            <a:gd name="connsiteX15" fmla="*/ 489857 w 1589314"/>
            <a:gd name="connsiteY15" fmla="*/ 829696 h 1009311"/>
            <a:gd name="connsiteX16" fmla="*/ 457200 w 1589314"/>
            <a:gd name="connsiteY16" fmla="*/ 862354 h 1009311"/>
            <a:gd name="connsiteX17" fmla="*/ 527957 w 1589314"/>
            <a:gd name="connsiteY17" fmla="*/ 916782 h 1009311"/>
            <a:gd name="connsiteX18" fmla="*/ 598714 w 1589314"/>
            <a:gd name="connsiteY18" fmla="*/ 873239 h 1009311"/>
            <a:gd name="connsiteX19" fmla="*/ 669471 w 1589314"/>
            <a:gd name="connsiteY19" fmla="*/ 927668 h 1009311"/>
            <a:gd name="connsiteX20" fmla="*/ 664029 w 1589314"/>
            <a:gd name="connsiteY20" fmla="*/ 992982 h 1009311"/>
            <a:gd name="connsiteX21" fmla="*/ 729343 w 1589314"/>
            <a:gd name="connsiteY21" fmla="*/ 1009311 h 1009311"/>
            <a:gd name="connsiteX22" fmla="*/ 810986 w 1589314"/>
            <a:gd name="connsiteY22" fmla="*/ 960325 h 1009311"/>
            <a:gd name="connsiteX23" fmla="*/ 849086 w 1589314"/>
            <a:gd name="connsiteY23" fmla="*/ 987539 h 1009311"/>
            <a:gd name="connsiteX24" fmla="*/ 859971 w 1589314"/>
            <a:gd name="connsiteY24" fmla="*/ 927668 h 1009311"/>
            <a:gd name="connsiteX25" fmla="*/ 892629 w 1589314"/>
            <a:gd name="connsiteY25" fmla="*/ 911339 h 1009311"/>
            <a:gd name="connsiteX26" fmla="*/ 843643 w 1589314"/>
            <a:gd name="connsiteY26" fmla="*/ 851468 h 1009311"/>
            <a:gd name="connsiteX27" fmla="*/ 952500 w 1589314"/>
            <a:gd name="connsiteY27" fmla="*/ 709954 h 1009311"/>
            <a:gd name="connsiteX28" fmla="*/ 1066800 w 1589314"/>
            <a:gd name="connsiteY28" fmla="*/ 780711 h 1009311"/>
            <a:gd name="connsiteX29" fmla="*/ 1159329 w 1589314"/>
            <a:gd name="connsiteY29" fmla="*/ 699068 h 1009311"/>
            <a:gd name="connsiteX30" fmla="*/ 1262743 w 1589314"/>
            <a:gd name="connsiteY30" fmla="*/ 742611 h 1009311"/>
            <a:gd name="connsiteX31" fmla="*/ 1257300 w 1589314"/>
            <a:gd name="connsiteY31" fmla="*/ 791596 h 1009311"/>
            <a:gd name="connsiteX32" fmla="*/ 1317171 w 1589314"/>
            <a:gd name="connsiteY32" fmla="*/ 802482 h 1009311"/>
            <a:gd name="connsiteX33" fmla="*/ 1409700 w 1589314"/>
            <a:gd name="connsiteY33" fmla="*/ 731725 h 1009311"/>
            <a:gd name="connsiteX34" fmla="*/ 1458686 w 1589314"/>
            <a:gd name="connsiteY34" fmla="*/ 726282 h 1009311"/>
            <a:gd name="connsiteX35" fmla="*/ 1475014 w 1589314"/>
            <a:gd name="connsiteY35" fmla="*/ 660968 h 1009311"/>
            <a:gd name="connsiteX36" fmla="*/ 1377043 w 1589314"/>
            <a:gd name="connsiteY36" fmla="*/ 579325 h 1009311"/>
            <a:gd name="connsiteX37" fmla="*/ 1360714 w 1589314"/>
            <a:gd name="connsiteY37" fmla="*/ 481354 h 1009311"/>
            <a:gd name="connsiteX38" fmla="*/ 1420586 w 1589314"/>
            <a:gd name="connsiteY38" fmla="*/ 437811 h 1009311"/>
            <a:gd name="connsiteX39" fmla="*/ 1480457 w 1589314"/>
            <a:gd name="connsiteY39" fmla="*/ 481354 h 1009311"/>
            <a:gd name="connsiteX40" fmla="*/ 1480457 w 1589314"/>
            <a:gd name="connsiteY40" fmla="*/ 399711 h 1009311"/>
            <a:gd name="connsiteX41" fmla="*/ 1529443 w 1589314"/>
            <a:gd name="connsiteY41" fmla="*/ 372496 h 1009311"/>
            <a:gd name="connsiteX42" fmla="*/ 1540329 w 1589314"/>
            <a:gd name="connsiteY42" fmla="*/ 426925 h 1009311"/>
            <a:gd name="connsiteX43" fmla="*/ 1589314 w 1589314"/>
            <a:gd name="connsiteY43" fmla="*/ 356168 h 1009311"/>
            <a:gd name="connsiteX44" fmla="*/ 1572986 w 1589314"/>
            <a:gd name="connsiteY44" fmla="*/ 247311 h 1009311"/>
            <a:gd name="connsiteX45" fmla="*/ 1469571 w 1589314"/>
            <a:gd name="connsiteY45" fmla="*/ 258196 h 1009311"/>
            <a:gd name="connsiteX46" fmla="*/ 1382486 w 1589314"/>
            <a:gd name="connsiteY46" fmla="*/ 176554 h 1009311"/>
            <a:gd name="connsiteX47" fmla="*/ 1317171 w 1589314"/>
            <a:gd name="connsiteY47" fmla="*/ 198325 h 1009311"/>
            <a:gd name="connsiteX48" fmla="*/ 1161051 w 1589314"/>
            <a:gd name="connsiteY48" fmla="*/ 82664 h 1009311"/>
            <a:gd name="connsiteX49" fmla="*/ 1121229 w 1589314"/>
            <a:gd name="connsiteY49" fmla="*/ 105796 h 1009311"/>
            <a:gd name="connsiteX50" fmla="*/ 1040953 w 1589314"/>
            <a:gd name="connsiteY50" fmla="*/ 0 h 1009311"/>
            <a:gd name="connsiteX51" fmla="*/ 930729 w 1589314"/>
            <a:gd name="connsiteY51" fmla="*/ 154782 h 1009311"/>
            <a:gd name="connsiteX52" fmla="*/ 734786 w 1589314"/>
            <a:gd name="connsiteY52" fmla="*/ 252754 h 1009311"/>
            <a:gd name="connsiteX53" fmla="*/ 560614 w 1589314"/>
            <a:gd name="connsiteY53" fmla="*/ 127568 h 1009311"/>
            <a:gd name="connsiteX54" fmla="*/ 517071 w 1589314"/>
            <a:gd name="connsiteY54" fmla="*/ 181996 h 1009311"/>
            <a:gd name="connsiteX55" fmla="*/ 411961 w 1589314"/>
            <a:gd name="connsiteY55" fmla="*/ 167369 h 1009311"/>
            <a:gd name="connsiteX0" fmla="*/ 411961 w 1589314"/>
            <a:gd name="connsiteY0" fmla="*/ 167369 h 1009311"/>
            <a:gd name="connsiteX1" fmla="*/ 408214 w 1589314"/>
            <a:gd name="connsiteY1" fmla="*/ 269082 h 1009311"/>
            <a:gd name="connsiteX2" fmla="*/ 381000 w 1589314"/>
            <a:gd name="connsiteY2" fmla="*/ 290854 h 1009311"/>
            <a:gd name="connsiteX3" fmla="*/ 413657 w 1589314"/>
            <a:gd name="connsiteY3" fmla="*/ 383382 h 1009311"/>
            <a:gd name="connsiteX4" fmla="*/ 342900 w 1589314"/>
            <a:gd name="connsiteY4" fmla="*/ 421482 h 1009311"/>
            <a:gd name="connsiteX5" fmla="*/ 255814 w 1589314"/>
            <a:gd name="connsiteY5" fmla="*/ 388825 h 1009311"/>
            <a:gd name="connsiteX6" fmla="*/ 206829 w 1589314"/>
            <a:gd name="connsiteY6" fmla="*/ 426925 h 1009311"/>
            <a:gd name="connsiteX7" fmla="*/ 163286 w 1589314"/>
            <a:gd name="connsiteY7" fmla="*/ 405154 h 1009311"/>
            <a:gd name="connsiteX8" fmla="*/ 141514 w 1589314"/>
            <a:gd name="connsiteY8" fmla="*/ 459582 h 1009311"/>
            <a:gd name="connsiteX9" fmla="*/ 0 w 1589314"/>
            <a:gd name="connsiteY9" fmla="*/ 524896 h 1009311"/>
            <a:gd name="connsiteX10" fmla="*/ 97971 w 1589314"/>
            <a:gd name="connsiteY10" fmla="*/ 639196 h 1009311"/>
            <a:gd name="connsiteX11" fmla="*/ 200373 w 1589314"/>
            <a:gd name="connsiteY11" fmla="*/ 745673 h 1009311"/>
            <a:gd name="connsiteX12" fmla="*/ 216348 w 1589314"/>
            <a:gd name="connsiteY12" fmla="*/ 765063 h 1009311"/>
            <a:gd name="connsiteX13" fmla="*/ 248675 w 1589314"/>
            <a:gd name="connsiteY13" fmla="*/ 816769 h 1009311"/>
            <a:gd name="connsiteX14" fmla="*/ 321129 w 1589314"/>
            <a:gd name="connsiteY14" fmla="*/ 753496 h 1009311"/>
            <a:gd name="connsiteX15" fmla="*/ 489857 w 1589314"/>
            <a:gd name="connsiteY15" fmla="*/ 829696 h 1009311"/>
            <a:gd name="connsiteX16" fmla="*/ 457200 w 1589314"/>
            <a:gd name="connsiteY16" fmla="*/ 862354 h 1009311"/>
            <a:gd name="connsiteX17" fmla="*/ 527957 w 1589314"/>
            <a:gd name="connsiteY17" fmla="*/ 916782 h 1009311"/>
            <a:gd name="connsiteX18" fmla="*/ 598714 w 1589314"/>
            <a:gd name="connsiteY18" fmla="*/ 873239 h 1009311"/>
            <a:gd name="connsiteX19" fmla="*/ 669471 w 1589314"/>
            <a:gd name="connsiteY19" fmla="*/ 927668 h 1009311"/>
            <a:gd name="connsiteX20" fmla="*/ 664029 w 1589314"/>
            <a:gd name="connsiteY20" fmla="*/ 992982 h 1009311"/>
            <a:gd name="connsiteX21" fmla="*/ 729343 w 1589314"/>
            <a:gd name="connsiteY21" fmla="*/ 1009311 h 1009311"/>
            <a:gd name="connsiteX22" fmla="*/ 810986 w 1589314"/>
            <a:gd name="connsiteY22" fmla="*/ 960325 h 1009311"/>
            <a:gd name="connsiteX23" fmla="*/ 849086 w 1589314"/>
            <a:gd name="connsiteY23" fmla="*/ 987539 h 1009311"/>
            <a:gd name="connsiteX24" fmla="*/ 859971 w 1589314"/>
            <a:gd name="connsiteY24" fmla="*/ 927668 h 1009311"/>
            <a:gd name="connsiteX25" fmla="*/ 892629 w 1589314"/>
            <a:gd name="connsiteY25" fmla="*/ 911339 h 1009311"/>
            <a:gd name="connsiteX26" fmla="*/ 843643 w 1589314"/>
            <a:gd name="connsiteY26" fmla="*/ 851468 h 1009311"/>
            <a:gd name="connsiteX27" fmla="*/ 952500 w 1589314"/>
            <a:gd name="connsiteY27" fmla="*/ 709954 h 1009311"/>
            <a:gd name="connsiteX28" fmla="*/ 1066800 w 1589314"/>
            <a:gd name="connsiteY28" fmla="*/ 780711 h 1009311"/>
            <a:gd name="connsiteX29" fmla="*/ 1159329 w 1589314"/>
            <a:gd name="connsiteY29" fmla="*/ 699068 h 1009311"/>
            <a:gd name="connsiteX30" fmla="*/ 1262743 w 1589314"/>
            <a:gd name="connsiteY30" fmla="*/ 742611 h 1009311"/>
            <a:gd name="connsiteX31" fmla="*/ 1257300 w 1589314"/>
            <a:gd name="connsiteY31" fmla="*/ 791596 h 1009311"/>
            <a:gd name="connsiteX32" fmla="*/ 1317171 w 1589314"/>
            <a:gd name="connsiteY32" fmla="*/ 802482 h 1009311"/>
            <a:gd name="connsiteX33" fmla="*/ 1409700 w 1589314"/>
            <a:gd name="connsiteY33" fmla="*/ 731725 h 1009311"/>
            <a:gd name="connsiteX34" fmla="*/ 1458686 w 1589314"/>
            <a:gd name="connsiteY34" fmla="*/ 726282 h 1009311"/>
            <a:gd name="connsiteX35" fmla="*/ 1475014 w 1589314"/>
            <a:gd name="connsiteY35" fmla="*/ 660968 h 1009311"/>
            <a:gd name="connsiteX36" fmla="*/ 1377043 w 1589314"/>
            <a:gd name="connsiteY36" fmla="*/ 579325 h 1009311"/>
            <a:gd name="connsiteX37" fmla="*/ 1360714 w 1589314"/>
            <a:gd name="connsiteY37" fmla="*/ 481354 h 1009311"/>
            <a:gd name="connsiteX38" fmla="*/ 1420586 w 1589314"/>
            <a:gd name="connsiteY38" fmla="*/ 437811 h 1009311"/>
            <a:gd name="connsiteX39" fmla="*/ 1480457 w 1589314"/>
            <a:gd name="connsiteY39" fmla="*/ 481354 h 1009311"/>
            <a:gd name="connsiteX40" fmla="*/ 1480457 w 1589314"/>
            <a:gd name="connsiteY40" fmla="*/ 399711 h 1009311"/>
            <a:gd name="connsiteX41" fmla="*/ 1529443 w 1589314"/>
            <a:gd name="connsiteY41" fmla="*/ 372496 h 1009311"/>
            <a:gd name="connsiteX42" fmla="*/ 1540329 w 1589314"/>
            <a:gd name="connsiteY42" fmla="*/ 426925 h 1009311"/>
            <a:gd name="connsiteX43" fmla="*/ 1589314 w 1589314"/>
            <a:gd name="connsiteY43" fmla="*/ 356168 h 1009311"/>
            <a:gd name="connsiteX44" fmla="*/ 1572986 w 1589314"/>
            <a:gd name="connsiteY44" fmla="*/ 247311 h 1009311"/>
            <a:gd name="connsiteX45" fmla="*/ 1469571 w 1589314"/>
            <a:gd name="connsiteY45" fmla="*/ 258196 h 1009311"/>
            <a:gd name="connsiteX46" fmla="*/ 1382486 w 1589314"/>
            <a:gd name="connsiteY46" fmla="*/ 176554 h 1009311"/>
            <a:gd name="connsiteX47" fmla="*/ 1307653 w 1589314"/>
            <a:gd name="connsiteY47" fmla="*/ 205469 h 1009311"/>
            <a:gd name="connsiteX48" fmla="*/ 1161051 w 1589314"/>
            <a:gd name="connsiteY48" fmla="*/ 82664 h 1009311"/>
            <a:gd name="connsiteX49" fmla="*/ 1121229 w 1589314"/>
            <a:gd name="connsiteY49" fmla="*/ 105796 h 1009311"/>
            <a:gd name="connsiteX50" fmla="*/ 1040953 w 1589314"/>
            <a:gd name="connsiteY50" fmla="*/ 0 h 1009311"/>
            <a:gd name="connsiteX51" fmla="*/ 930729 w 1589314"/>
            <a:gd name="connsiteY51" fmla="*/ 154782 h 1009311"/>
            <a:gd name="connsiteX52" fmla="*/ 734786 w 1589314"/>
            <a:gd name="connsiteY52" fmla="*/ 252754 h 1009311"/>
            <a:gd name="connsiteX53" fmla="*/ 560614 w 1589314"/>
            <a:gd name="connsiteY53" fmla="*/ 127568 h 1009311"/>
            <a:gd name="connsiteX54" fmla="*/ 517071 w 1589314"/>
            <a:gd name="connsiteY54" fmla="*/ 181996 h 1009311"/>
            <a:gd name="connsiteX55" fmla="*/ 411961 w 1589314"/>
            <a:gd name="connsiteY55" fmla="*/ 167369 h 1009311"/>
            <a:gd name="connsiteX0" fmla="*/ 411961 w 1589314"/>
            <a:gd name="connsiteY0" fmla="*/ 167369 h 1009311"/>
            <a:gd name="connsiteX1" fmla="*/ 408214 w 1589314"/>
            <a:gd name="connsiteY1" fmla="*/ 269082 h 1009311"/>
            <a:gd name="connsiteX2" fmla="*/ 381000 w 1589314"/>
            <a:gd name="connsiteY2" fmla="*/ 290854 h 1009311"/>
            <a:gd name="connsiteX3" fmla="*/ 413657 w 1589314"/>
            <a:gd name="connsiteY3" fmla="*/ 383382 h 1009311"/>
            <a:gd name="connsiteX4" fmla="*/ 342900 w 1589314"/>
            <a:gd name="connsiteY4" fmla="*/ 421482 h 1009311"/>
            <a:gd name="connsiteX5" fmla="*/ 255814 w 1589314"/>
            <a:gd name="connsiteY5" fmla="*/ 388825 h 1009311"/>
            <a:gd name="connsiteX6" fmla="*/ 206829 w 1589314"/>
            <a:gd name="connsiteY6" fmla="*/ 426925 h 1009311"/>
            <a:gd name="connsiteX7" fmla="*/ 163286 w 1589314"/>
            <a:gd name="connsiteY7" fmla="*/ 405154 h 1009311"/>
            <a:gd name="connsiteX8" fmla="*/ 141514 w 1589314"/>
            <a:gd name="connsiteY8" fmla="*/ 459582 h 1009311"/>
            <a:gd name="connsiteX9" fmla="*/ 0 w 1589314"/>
            <a:gd name="connsiteY9" fmla="*/ 524896 h 1009311"/>
            <a:gd name="connsiteX10" fmla="*/ 97971 w 1589314"/>
            <a:gd name="connsiteY10" fmla="*/ 639196 h 1009311"/>
            <a:gd name="connsiteX11" fmla="*/ 200373 w 1589314"/>
            <a:gd name="connsiteY11" fmla="*/ 745673 h 1009311"/>
            <a:gd name="connsiteX12" fmla="*/ 216348 w 1589314"/>
            <a:gd name="connsiteY12" fmla="*/ 765063 h 1009311"/>
            <a:gd name="connsiteX13" fmla="*/ 248675 w 1589314"/>
            <a:gd name="connsiteY13" fmla="*/ 816769 h 1009311"/>
            <a:gd name="connsiteX14" fmla="*/ 321129 w 1589314"/>
            <a:gd name="connsiteY14" fmla="*/ 753496 h 1009311"/>
            <a:gd name="connsiteX15" fmla="*/ 489857 w 1589314"/>
            <a:gd name="connsiteY15" fmla="*/ 829696 h 1009311"/>
            <a:gd name="connsiteX16" fmla="*/ 457200 w 1589314"/>
            <a:gd name="connsiteY16" fmla="*/ 862354 h 1009311"/>
            <a:gd name="connsiteX17" fmla="*/ 527957 w 1589314"/>
            <a:gd name="connsiteY17" fmla="*/ 916782 h 1009311"/>
            <a:gd name="connsiteX18" fmla="*/ 598714 w 1589314"/>
            <a:gd name="connsiteY18" fmla="*/ 873239 h 1009311"/>
            <a:gd name="connsiteX19" fmla="*/ 669471 w 1589314"/>
            <a:gd name="connsiteY19" fmla="*/ 927668 h 1009311"/>
            <a:gd name="connsiteX20" fmla="*/ 664029 w 1589314"/>
            <a:gd name="connsiteY20" fmla="*/ 992982 h 1009311"/>
            <a:gd name="connsiteX21" fmla="*/ 729343 w 1589314"/>
            <a:gd name="connsiteY21" fmla="*/ 1009311 h 1009311"/>
            <a:gd name="connsiteX22" fmla="*/ 810986 w 1589314"/>
            <a:gd name="connsiteY22" fmla="*/ 960325 h 1009311"/>
            <a:gd name="connsiteX23" fmla="*/ 849086 w 1589314"/>
            <a:gd name="connsiteY23" fmla="*/ 987539 h 1009311"/>
            <a:gd name="connsiteX24" fmla="*/ 859971 w 1589314"/>
            <a:gd name="connsiteY24" fmla="*/ 927668 h 1009311"/>
            <a:gd name="connsiteX25" fmla="*/ 892629 w 1589314"/>
            <a:gd name="connsiteY25" fmla="*/ 911339 h 1009311"/>
            <a:gd name="connsiteX26" fmla="*/ 843643 w 1589314"/>
            <a:gd name="connsiteY26" fmla="*/ 851468 h 1009311"/>
            <a:gd name="connsiteX27" fmla="*/ 952500 w 1589314"/>
            <a:gd name="connsiteY27" fmla="*/ 709954 h 1009311"/>
            <a:gd name="connsiteX28" fmla="*/ 1066800 w 1589314"/>
            <a:gd name="connsiteY28" fmla="*/ 780711 h 1009311"/>
            <a:gd name="connsiteX29" fmla="*/ 1159329 w 1589314"/>
            <a:gd name="connsiteY29" fmla="*/ 699068 h 1009311"/>
            <a:gd name="connsiteX30" fmla="*/ 1262743 w 1589314"/>
            <a:gd name="connsiteY30" fmla="*/ 742611 h 1009311"/>
            <a:gd name="connsiteX31" fmla="*/ 1257300 w 1589314"/>
            <a:gd name="connsiteY31" fmla="*/ 791596 h 1009311"/>
            <a:gd name="connsiteX32" fmla="*/ 1317171 w 1589314"/>
            <a:gd name="connsiteY32" fmla="*/ 802482 h 1009311"/>
            <a:gd name="connsiteX33" fmla="*/ 1409700 w 1589314"/>
            <a:gd name="connsiteY33" fmla="*/ 731725 h 1009311"/>
            <a:gd name="connsiteX34" fmla="*/ 1458686 w 1589314"/>
            <a:gd name="connsiteY34" fmla="*/ 726282 h 1009311"/>
            <a:gd name="connsiteX35" fmla="*/ 1475014 w 1589314"/>
            <a:gd name="connsiteY35" fmla="*/ 660968 h 1009311"/>
            <a:gd name="connsiteX36" fmla="*/ 1377043 w 1589314"/>
            <a:gd name="connsiteY36" fmla="*/ 579325 h 1009311"/>
            <a:gd name="connsiteX37" fmla="*/ 1360714 w 1589314"/>
            <a:gd name="connsiteY37" fmla="*/ 481354 h 1009311"/>
            <a:gd name="connsiteX38" fmla="*/ 1420586 w 1589314"/>
            <a:gd name="connsiteY38" fmla="*/ 437811 h 1009311"/>
            <a:gd name="connsiteX39" fmla="*/ 1480457 w 1589314"/>
            <a:gd name="connsiteY39" fmla="*/ 481354 h 1009311"/>
            <a:gd name="connsiteX40" fmla="*/ 1480457 w 1589314"/>
            <a:gd name="connsiteY40" fmla="*/ 399711 h 1009311"/>
            <a:gd name="connsiteX41" fmla="*/ 1529443 w 1589314"/>
            <a:gd name="connsiteY41" fmla="*/ 372496 h 1009311"/>
            <a:gd name="connsiteX42" fmla="*/ 1540329 w 1589314"/>
            <a:gd name="connsiteY42" fmla="*/ 426925 h 1009311"/>
            <a:gd name="connsiteX43" fmla="*/ 1589314 w 1589314"/>
            <a:gd name="connsiteY43" fmla="*/ 356168 h 1009311"/>
            <a:gd name="connsiteX44" fmla="*/ 1572986 w 1589314"/>
            <a:gd name="connsiteY44" fmla="*/ 247311 h 1009311"/>
            <a:gd name="connsiteX45" fmla="*/ 1469571 w 1589314"/>
            <a:gd name="connsiteY45" fmla="*/ 258196 h 1009311"/>
            <a:gd name="connsiteX46" fmla="*/ 1372967 w 1589314"/>
            <a:gd name="connsiteY46" fmla="*/ 183698 h 1009311"/>
            <a:gd name="connsiteX47" fmla="*/ 1307653 w 1589314"/>
            <a:gd name="connsiteY47" fmla="*/ 205469 h 1009311"/>
            <a:gd name="connsiteX48" fmla="*/ 1161051 w 1589314"/>
            <a:gd name="connsiteY48" fmla="*/ 82664 h 1009311"/>
            <a:gd name="connsiteX49" fmla="*/ 1121229 w 1589314"/>
            <a:gd name="connsiteY49" fmla="*/ 105796 h 1009311"/>
            <a:gd name="connsiteX50" fmla="*/ 1040953 w 1589314"/>
            <a:gd name="connsiteY50" fmla="*/ 0 h 1009311"/>
            <a:gd name="connsiteX51" fmla="*/ 930729 w 1589314"/>
            <a:gd name="connsiteY51" fmla="*/ 154782 h 1009311"/>
            <a:gd name="connsiteX52" fmla="*/ 734786 w 1589314"/>
            <a:gd name="connsiteY52" fmla="*/ 252754 h 1009311"/>
            <a:gd name="connsiteX53" fmla="*/ 560614 w 1589314"/>
            <a:gd name="connsiteY53" fmla="*/ 127568 h 1009311"/>
            <a:gd name="connsiteX54" fmla="*/ 517071 w 1589314"/>
            <a:gd name="connsiteY54" fmla="*/ 181996 h 1009311"/>
            <a:gd name="connsiteX55" fmla="*/ 411961 w 1589314"/>
            <a:gd name="connsiteY55" fmla="*/ 167369 h 10093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</a:cxnLst>
          <a:rect l="l" t="t" r="r" b="b"/>
          <a:pathLst>
            <a:path w="1589314" h="1009311">
              <a:moveTo>
                <a:pt x="411961" y="167369"/>
              </a:moveTo>
              <a:lnTo>
                <a:pt x="408214" y="269082"/>
              </a:lnTo>
              <a:lnTo>
                <a:pt x="381000" y="290854"/>
              </a:lnTo>
              <a:lnTo>
                <a:pt x="413657" y="383382"/>
              </a:lnTo>
              <a:lnTo>
                <a:pt x="342900" y="421482"/>
              </a:lnTo>
              <a:lnTo>
                <a:pt x="255814" y="388825"/>
              </a:lnTo>
              <a:lnTo>
                <a:pt x="206829" y="426925"/>
              </a:lnTo>
              <a:lnTo>
                <a:pt x="163286" y="405154"/>
              </a:lnTo>
              <a:lnTo>
                <a:pt x="141514" y="459582"/>
              </a:lnTo>
              <a:lnTo>
                <a:pt x="0" y="524896"/>
              </a:lnTo>
              <a:lnTo>
                <a:pt x="97971" y="639196"/>
              </a:lnTo>
              <a:lnTo>
                <a:pt x="200373" y="745673"/>
              </a:lnTo>
              <a:lnTo>
                <a:pt x="216348" y="765063"/>
              </a:lnTo>
              <a:lnTo>
                <a:pt x="248675" y="816769"/>
              </a:lnTo>
              <a:lnTo>
                <a:pt x="321129" y="753496"/>
              </a:lnTo>
              <a:lnTo>
                <a:pt x="489857" y="829696"/>
              </a:lnTo>
              <a:lnTo>
                <a:pt x="457200" y="862354"/>
              </a:lnTo>
              <a:lnTo>
                <a:pt x="527957" y="916782"/>
              </a:lnTo>
              <a:lnTo>
                <a:pt x="598714" y="873239"/>
              </a:lnTo>
              <a:lnTo>
                <a:pt x="669471" y="927668"/>
              </a:lnTo>
              <a:lnTo>
                <a:pt x="664029" y="992982"/>
              </a:lnTo>
              <a:lnTo>
                <a:pt x="729343" y="1009311"/>
              </a:lnTo>
              <a:lnTo>
                <a:pt x="810986" y="960325"/>
              </a:lnTo>
              <a:lnTo>
                <a:pt x="849086" y="987539"/>
              </a:lnTo>
              <a:lnTo>
                <a:pt x="859971" y="927668"/>
              </a:lnTo>
              <a:lnTo>
                <a:pt x="892629" y="911339"/>
              </a:lnTo>
              <a:lnTo>
                <a:pt x="843643" y="851468"/>
              </a:lnTo>
              <a:lnTo>
                <a:pt x="952500" y="709954"/>
              </a:lnTo>
              <a:lnTo>
                <a:pt x="1066800" y="780711"/>
              </a:lnTo>
              <a:lnTo>
                <a:pt x="1159329" y="699068"/>
              </a:lnTo>
              <a:lnTo>
                <a:pt x="1262743" y="742611"/>
              </a:lnTo>
              <a:lnTo>
                <a:pt x="1257300" y="791596"/>
              </a:lnTo>
              <a:lnTo>
                <a:pt x="1317171" y="802482"/>
              </a:lnTo>
              <a:lnTo>
                <a:pt x="1409700" y="731725"/>
              </a:lnTo>
              <a:lnTo>
                <a:pt x="1458686" y="726282"/>
              </a:lnTo>
              <a:lnTo>
                <a:pt x="1475014" y="660968"/>
              </a:lnTo>
              <a:lnTo>
                <a:pt x="1377043" y="579325"/>
              </a:lnTo>
              <a:lnTo>
                <a:pt x="1360714" y="481354"/>
              </a:lnTo>
              <a:lnTo>
                <a:pt x="1420586" y="437811"/>
              </a:lnTo>
              <a:lnTo>
                <a:pt x="1480457" y="481354"/>
              </a:lnTo>
              <a:lnTo>
                <a:pt x="1480457" y="399711"/>
              </a:lnTo>
              <a:lnTo>
                <a:pt x="1529443" y="372496"/>
              </a:lnTo>
              <a:lnTo>
                <a:pt x="1540329" y="426925"/>
              </a:lnTo>
              <a:lnTo>
                <a:pt x="1589314" y="356168"/>
              </a:lnTo>
              <a:lnTo>
                <a:pt x="1572986" y="247311"/>
              </a:lnTo>
              <a:lnTo>
                <a:pt x="1469571" y="258196"/>
              </a:lnTo>
              <a:lnTo>
                <a:pt x="1372967" y="183698"/>
              </a:lnTo>
              <a:lnTo>
                <a:pt x="1307653" y="205469"/>
              </a:lnTo>
              <a:lnTo>
                <a:pt x="1161051" y="82664"/>
              </a:lnTo>
              <a:lnTo>
                <a:pt x="1121229" y="105796"/>
              </a:lnTo>
              <a:lnTo>
                <a:pt x="1040953" y="0"/>
              </a:lnTo>
              <a:lnTo>
                <a:pt x="930729" y="154782"/>
              </a:lnTo>
              <a:lnTo>
                <a:pt x="734786" y="252754"/>
              </a:lnTo>
              <a:lnTo>
                <a:pt x="560614" y="127568"/>
              </a:lnTo>
              <a:lnTo>
                <a:pt x="517071" y="181996"/>
              </a:lnTo>
              <a:lnTo>
                <a:pt x="411961" y="167369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5</xdr:col>
      <xdr:colOff>477185</xdr:colOff>
      <xdr:row>6</xdr:row>
      <xdr:rowOff>129962</xdr:rowOff>
    </xdr:from>
    <xdr:to>
      <xdr:col>7</xdr:col>
      <xdr:colOff>357778</xdr:colOff>
      <xdr:row>8</xdr:row>
      <xdr:rowOff>75924</xdr:rowOff>
    </xdr:to>
    <xdr:sp macro="" textlink="">
      <xdr:nvSpPr>
        <xdr:cNvPr id="7" name="Koprivničko_Križevačka_županija"/>
        <xdr:cNvSpPr/>
      </xdr:nvSpPr>
      <xdr:spPr>
        <a:xfrm>
          <a:off x="4353860" y="1358687"/>
          <a:ext cx="747368" cy="498412"/>
        </a:xfrm>
        <a:custGeom>
          <a:avLst/>
          <a:gdLst>
            <a:gd name="connsiteX0" fmla="*/ 560614 w 1099457"/>
            <a:gd name="connsiteY0" fmla="*/ 0 h 734785"/>
            <a:gd name="connsiteX1" fmla="*/ 500743 w 1099457"/>
            <a:gd name="connsiteY1" fmla="*/ 97971 h 734785"/>
            <a:gd name="connsiteX2" fmla="*/ 413657 w 1099457"/>
            <a:gd name="connsiteY2" fmla="*/ 234043 h 734785"/>
            <a:gd name="connsiteX3" fmla="*/ 299357 w 1099457"/>
            <a:gd name="connsiteY3" fmla="*/ 212271 h 734785"/>
            <a:gd name="connsiteX4" fmla="*/ 239486 w 1099457"/>
            <a:gd name="connsiteY4" fmla="*/ 239485 h 734785"/>
            <a:gd name="connsiteX5" fmla="*/ 250371 w 1099457"/>
            <a:gd name="connsiteY5" fmla="*/ 299357 h 734785"/>
            <a:gd name="connsiteX6" fmla="*/ 185057 w 1099457"/>
            <a:gd name="connsiteY6" fmla="*/ 299357 h 734785"/>
            <a:gd name="connsiteX7" fmla="*/ 136071 w 1099457"/>
            <a:gd name="connsiteY7" fmla="*/ 353785 h 734785"/>
            <a:gd name="connsiteX8" fmla="*/ 92529 w 1099457"/>
            <a:gd name="connsiteY8" fmla="*/ 315685 h 734785"/>
            <a:gd name="connsiteX9" fmla="*/ 0 w 1099457"/>
            <a:gd name="connsiteY9" fmla="*/ 413657 h 734785"/>
            <a:gd name="connsiteX10" fmla="*/ 0 w 1099457"/>
            <a:gd name="connsiteY10" fmla="*/ 527957 h 734785"/>
            <a:gd name="connsiteX11" fmla="*/ 136071 w 1099457"/>
            <a:gd name="connsiteY11" fmla="*/ 642257 h 734785"/>
            <a:gd name="connsiteX12" fmla="*/ 201386 w 1099457"/>
            <a:gd name="connsiteY12" fmla="*/ 620485 h 734785"/>
            <a:gd name="connsiteX13" fmla="*/ 299357 w 1099457"/>
            <a:gd name="connsiteY13" fmla="*/ 702128 h 734785"/>
            <a:gd name="connsiteX14" fmla="*/ 397329 w 1099457"/>
            <a:gd name="connsiteY14" fmla="*/ 691243 h 734785"/>
            <a:gd name="connsiteX15" fmla="*/ 419100 w 1099457"/>
            <a:gd name="connsiteY15" fmla="*/ 500743 h 734785"/>
            <a:gd name="connsiteX16" fmla="*/ 484414 w 1099457"/>
            <a:gd name="connsiteY16" fmla="*/ 451757 h 734785"/>
            <a:gd name="connsiteX17" fmla="*/ 522514 w 1099457"/>
            <a:gd name="connsiteY17" fmla="*/ 478971 h 734785"/>
            <a:gd name="connsiteX18" fmla="*/ 549729 w 1099457"/>
            <a:gd name="connsiteY18" fmla="*/ 462643 h 734785"/>
            <a:gd name="connsiteX19" fmla="*/ 566057 w 1099457"/>
            <a:gd name="connsiteY19" fmla="*/ 408214 h 734785"/>
            <a:gd name="connsiteX20" fmla="*/ 647700 w 1099457"/>
            <a:gd name="connsiteY20" fmla="*/ 527957 h 734785"/>
            <a:gd name="connsiteX21" fmla="*/ 642257 w 1099457"/>
            <a:gd name="connsiteY21" fmla="*/ 593271 h 734785"/>
            <a:gd name="connsiteX22" fmla="*/ 718457 w 1099457"/>
            <a:gd name="connsiteY22" fmla="*/ 571500 h 734785"/>
            <a:gd name="connsiteX23" fmla="*/ 745671 w 1099457"/>
            <a:gd name="connsiteY23" fmla="*/ 609600 h 734785"/>
            <a:gd name="connsiteX24" fmla="*/ 751114 w 1099457"/>
            <a:gd name="connsiteY24" fmla="*/ 669471 h 734785"/>
            <a:gd name="connsiteX25" fmla="*/ 816429 w 1099457"/>
            <a:gd name="connsiteY25" fmla="*/ 669471 h 734785"/>
            <a:gd name="connsiteX26" fmla="*/ 876300 w 1099457"/>
            <a:gd name="connsiteY26" fmla="*/ 734785 h 734785"/>
            <a:gd name="connsiteX27" fmla="*/ 968829 w 1099457"/>
            <a:gd name="connsiteY27" fmla="*/ 587828 h 734785"/>
            <a:gd name="connsiteX28" fmla="*/ 1099457 w 1099457"/>
            <a:gd name="connsiteY28" fmla="*/ 566057 h 734785"/>
            <a:gd name="connsiteX29" fmla="*/ 1039586 w 1099457"/>
            <a:gd name="connsiteY29" fmla="*/ 522514 h 734785"/>
            <a:gd name="connsiteX30" fmla="*/ 1045029 w 1099457"/>
            <a:gd name="connsiteY30" fmla="*/ 473528 h 734785"/>
            <a:gd name="connsiteX31" fmla="*/ 974271 w 1099457"/>
            <a:gd name="connsiteY31" fmla="*/ 375557 h 734785"/>
            <a:gd name="connsiteX32" fmla="*/ 947057 w 1099457"/>
            <a:gd name="connsiteY32" fmla="*/ 364671 h 734785"/>
            <a:gd name="connsiteX33" fmla="*/ 941614 w 1099457"/>
            <a:gd name="connsiteY33" fmla="*/ 315685 h 734785"/>
            <a:gd name="connsiteX34" fmla="*/ 887186 w 1099457"/>
            <a:gd name="connsiteY34" fmla="*/ 272143 h 734785"/>
            <a:gd name="connsiteX35" fmla="*/ 865414 w 1099457"/>
            <a:gd name="connsiteY35" fmla="*/ 288471 h 734785"/>
            <a:gd name="connsiteX36" fmla="*/ 691243 w 1099457"/>
            <a:gd name="connsiteY36" fmla="*/ 195943 h 734785"/>
            <a:gd name="connsiteX37" fmla="*/ 625929 w 1099457"/>
            <a:gd name="connsiteY37" fmla="*/ 114300 h 734785"/>
            <a:gd name="connsiteX38" fmla="*/ 560614 w 1099457"/>
            <a:gd name="connsiteY38" fmla="*/ 0 h 734785"/>
            <a:gd name="connsiteX0" fmla="*/ 574909 w 1099457"/>
            <a:gd name="connsiteY0" fmla="*/ 0 h 734785"/>
            <a:gd name="connsiteX1" fmla="*/ 500743 w 1099457"/>
            <a:gd name="connsiteY1" fmla="*/ 97971 h 734785"/>
            <a:gd name="connsiteX2" fmla="*/ 413657 w 1099457"/>
            <a:gd name="connsiteY2" fmla="*/ 234043 h 734785"/>
            <a:gd name="connsiteX3" fmla="*/ 299357 w 1099457"/>
            <a:gd name="connsiteY3" fmla="*/ 212271 h 734785"/>
            <a:gd name="connsiteX4" fmla="*/ 239486 w 1099457"/>
            <a:gd name="connsiteY4" fmla="*/ 239485 h 734785"/>
            <a:gd name="connsiteX5" fmla="*/ 250371 w 1099457"/>
            <a:gd name="connsiteY5" fmla="*/ 299357 h 734785"/>
            <a:gd name="connsiteX6" fmla="*/ 185057 w 1099457"/>
            <a:gd name="connsiteY6" fmla="*/ 299357 h 734785"/>
            <a:gd name="connsiteX7" fmla="*/ 136071 w 1099457"/>
            <a:gd name="connsiteY7" fmla="*/ 353785 h 734785"/>
            <a:gd name="connsiteX8" fmla="*/ 92529 w 1099457"/>
            <a:gd name="connsiteY8" fmla="*/ 315685 h 734785"/>
            <a:gd name="connsiteX9" fmla="*/ 0 w 1099457"/>
            <a:gd name="connsiteY9" fmla="*/ 413657 h 734785"/>
            <a:gd name="connsiteX10" fmla="*/ 0 w 1099457"/>
            <a:gd name="connsiteY10" fmla="*/ 527957 h 734785"/>
            <a:gd name="connsiteX11" fmla="*/ 136071 w 1099457"/>
            <a:gd name="connsiteY11" fmla="*/ 642257 h 734785"/>
            <a:gd name="connsiteX12" fmla="*/ 201386 w 1099457"/>
            <a:gd name="connsiteY12" fmla="*/ 620485 h 734785"/>
            <a:gd name="connsiteX13" fmla="*/ 299357 w 1099457"/>
            <a:gd name="connsiteY13" fmla="*/ 702128 h 734785"/>
            <a:gd name="connsiteX14" fmla="*/ 397329 w 1099457"/>
            <a:gd name="connsiteY14" fmla="*/ 691243 h 734785"/>
            <a:gd name="connsiteX15" fmla="*/ 419100 w 1099457"/>
            <a:gd name="connsiteY15" fmla="*/ 500743 h 734785"/>
            <a:gd name="connsiteX16" fmla="*/ 484414 w 1099457"/>
            <a:gd name="connsiteY16" fmla="*/ 451757 h 734785"/>
            <a:gd name="connsiteX17" fmla="*/ 522514 w 1099457"/>
            <a:gd name="connsiteY17" fmla="*/ 478971 h 734785"/>
            <a:gd name="connsiteX18" fmla="*/ 549729 w 1099457"/>
            <a:gd name="connsiteY18" fmla="*/ 462643 h 734785"/>
            <a:gd name="connsiteX19" fmla="*/ 566057 w 1099457"/>
            <a:gd name="connsiteY19" fmla="*/ 408214 h 734785"/>
            <a:gd name="connsiteX20" fmla="*/ 647700 w 1099457"/>
            <a:gd name="connsiteY20" fmla="*/ 527957 h 734785"/>
            <a:gd name="connsiteX21" fmla="*/ 642257 w 1099457"/>
            <a:gd name="connsiteY21" fmla="*/ 593271 h 734785"/>
            <a:gd name="connsiteX22" fmla="*/ 718457 w 1099457"/>
            <a:gd name="connsiteY22" fmla="*/ 571500 h 734785"/>
            <a:gd name="connsiteX23" fmla="*/ 745671 w 1099457"/>
            <a:gd name="connsiteY23" fmla="*/ 609600 h 734785"/>
            <a:gd name="connsiteX24" fmla="*/ 751114 w 1099457"/>
            <a:gd name="connsiteY24" fmla="*/ 669471 h 734785"/>
            <a:gd name="connsiteX25" fmla="*/ 816429 w 1099457"/>
            <a:gd name="connsiteY25" fmla="*/ 669471 h 734785"/>
            <a:gd name="connsiteX26" fmla="*/ 876300 w 1099457"/>
            <a:gd name="connsiteY26" fmla="*/ 734785 h 734785"/>
            <a:gd name="connsiteX27" fmla="*/ 968829 w 1099457"/>
            <a:gd name="connsiteY27" fmla="*/ 587828 h 734785"/>
            <a:gd name="connsiteX28" fmla="*/ 1099457 w 1099457"/>
            <a:gd name="connsiteY28" fmla="*/ 566057 h 734785"/>
            <a:gd name="connsiteX29" fmla="*/ 1039586 w 1099457"/>
            <a:gd name="connsiteY29" fmla="*/ 522514 h 734785"/>
            <a:gd name="connsiteX30" fmla="*/ 1045029 w 1099457"/>
            <a:gd name="connsiteY30" fmla="*/ 473528 h 734785"/>
            <a:gd name="connsiteX31" fmla="*/ 974271 w 1099457"/>
            <a:gd name="connsiteY31" fmla="*/ 375557 h 734785"/>
            <a:gd name="connsiteX32" fmla="*/ 947057 w 1099457"/>
            <a:gd name="connsiteY32" fmla="*/ 364671 h 734785"/>
            <a:gd name="connsiteX33" fmla="*/ 941614 w 1099457"/>
            <a:gd name="connsiteY33" fmla="*/ 315685 h 734785"/>
            <a:gd name="connsiteX34" fmla="*/ 887186 w 1099457"/>
            <a:gd name="connsiteY34" fmla="*/ 272143 h 734785"/>
            <a:gd name="connsiteX35" fmla="*/ 865414 w 1099457"/>
            <a:gd name="connsiteY35" fmla="*/ 288471 h 734785"/>
            <a:gd name="connsiteX36" fmla="*/ 691243 w 1099457"/>
            <a:gd name="connsiteY36" fmla="*/ 195943 h 734785"/>
            <a:gd name="connsiteX37" fmla="*/ 625929 w 1099457"/>
            <a:gd name="connsiteY37" fmla="*/ 114300 h 734785"/>
            <a:gd name="connsiteX38" fmla="*/ 574909 w 1099457"/>
            <a:gd name="connsiteY38" fmla="*/ 0 h 734785"/>
            <a:gd name="connsiteX0" fmla="*/ 574909 w 1099457"/>
            <a:gd name="connsiteY0" fmla="*/ 0 h 734785"/>
            <a:gd name="connsiteX1" fmla="*/ 500743 w 1099457"/>
            <a:gd name="connsiteY1" fmla="*/ 97971 h 734785"/>
            <a:gd name="connsiteX2" fmla="*/ 413657 w 1099457"/>
            <a:gd name="connsiteY2" fmla="*/ 234043 h 734785"/>
            <a:gd name="connsiteX3" fmla="*/ 299357 w 1099457"/>
            <a:gd name="connsiteY3" fmla="*/ 212271 h 734785"/>
            <a:gd name="connsiteX4" fmla="*/ 239486 w 1099457"/>
            <a:gd name="connsiteY4" fmla="*/ 239485 h 734785"/>
            <a:gd name="connsiteX5" fmla="*/ 250371 w 1099457"/>
            <a:gd name="connsiteY5" fmla="*/ 299357 h 734785"/>
            <a:gd name="connsiteX6" fmla="*/ 185057 w 1099457"/>
            <a:gd name="connsiteY6" fmla="*/ 299357 h 734785"/>
            <a:gd name="connsiteX7" fmla="*/ 136071 w 1099457"/>
            <a:gd name="connsiteY7" fmla="*/ 353785 h 734785"/>
            <a:gd name="connsiteX8" fmla="*/ 92529 w 1099457"/>
            <a:gd name="connsiteY8" fmla="*/ 315685 h 734785"/>
            <a:gd name="connsiteX9" fmla="*/ 0 w 1099457"/>
            <a:gd name="connsiteY9" fmla="*/ 413657 h 734785"/>
            <a:gd name="connsiteX10" fmla="*/ 0 w 1099457"/>
            <a:gd name="connsiteY10" fmla="*/ 527957 h 734785"/>
            <a:gd name="connsiteX11" fmla="*/ 136071 w 1099457"/>
            <a:gd name="connsiteY11" fmla="*/ 642257 h 734785"/>
            <a:gd name="connsiteX12" fmla="*/ 201386 w 1099457"/>
            <a:gd name="connsiteY12" fmla="*/ 620485 h 734785"/>
            <a:gd name="connsiteX13" fmla="*/ 299357 w 1099457"/>
            <a:gd name="connsiteY13" fmla="*/ 702128 h 734785"/>
            <a:gd name="connsiteX14" fmla="*/ 397329 w 1099457"/>
            <a:gd name="connsiteY14" fmla="*/ 691243 h 734785"/>
            <a:gd name="connsiteX15" fmla="*/ 419100 w 1099457"/>
            <a:gd name="connsiteY15" fmla="*/ 500743 h 734785"/>
            <a:gd name="connsiteX16" fmla="*/ 484414 w 1099457"/>
            <a:gd name="connsiteY16" fmla="*/ 451757 h 734785"/>
            <a:gd name="connsiteX17" fmla="*/ 522514 w 1099457"/>
            <a:gd name="connsiteY17" fmla="*/ 478971 h 734785"/>
            <a:gd name="connsiteX18" fmla="*/ 549729 w 1099457"/>
            <a:gd name="connsiteY18" fmla="*/ 462643 h 734785"/>
            <a:gd name="connsiteX19" fmla="*/ 566057 w 1099457"/>
            <a:gd name="connsiteY19" fmla="*/ 408214 h 734785"/>
            <a:gd name="connsiteX20" fmla="*/ 647700 w 1099457"/>
            <a:gd name="connsiteY20" fmla="*/ 527957 h 734785"/>
            <a:gd name="connsiteX21" fmla="*/ 642257 w 1099457"/>
            <a:gd name="connsiteY21" fmla="*/ 593271 h 734785"/>
            <a:gd name="connsiteX22" fmla="*/ 718457 w 1099457"/>
            <a:gd name="connsiteY22" fmla="*/ 571500 h 734785"/>
            <a:gd name="connsiteX23" fmla="*/ 745671 w 1099457"/>
            <a:gd name="connsiteY23" fmla="*/ 609600 h 734785"/>
            <a:gd name="connsiteX24" fmla="*/ 751114 w 1099457"/>
            <a:gd name="connsiteY24" fmla="*/ 669471 h 734785"/>
            <a:gd name="connsiteX25" fmla="*/ 816429 w 1099457"/>
            <a:gd name="connsiteY25" fmla="*/ 669471 h 734785"/>
            <a:gd name="connsiteX26" fmla="*/ 876300 w 1099457"/>
            <a:gd name="connsiteY26" fmla="*/ 734785 h 734785"/>
            <a:gd name="connsiteX27" fmla="*/ 968829 w 1099457"/>
            <a:gd name="connsiteY27" fmla="*/ 594972 h 734785"/>
            <a:gd name="connsiteX28" fmla="*/ 1099457 w 1099457"/>
            <a:gd name="connsiteY28" fmla="*/ 566057 h 734785"/>
            <a:gd name="connsiteX29" fmla="*/ 1039586 w 1099457"/>
            <a:gd name="connsiteY29" fmla="*/ 522514 h 734785"/>
            <a:gd name="connsiteX30" fmla="*/ 1045029 w 1099457"/>
            <a:gd name="connsiteY30" fmla="*/ 473528 h 734785"/>
            <a:gd name="connsiteX31" fmla="*/ 974271 w 1099457"/>
            <a:gd name="connsiteY31" fmla="*/ 375557 h 734785"/>
            <a:gd name="connsiteX32" fmla="*/ 947057 w 1099457"/>
            <a:gd name="connsiteY32" fmla="*/ 364671 h 734785"/>
            <a:gd name="connsiteX33" fmla="*/ 941614 w 1099457"/>
            <a:gd name="connsiteY33" fmla="*/ 315685 h 734785"/>
            <a:gd name="connsiteX34" fmla="*/ 887186 w 1099457"/>
            <a:gd name="connsiteY34" fmla="*/ 272143 h 734785"/>
            <a:gd name="connsiteX35" fmla="*/ 865414 w 1099457"/>
            <a:gd name="connsiteY35" fmla="*/ 288471 h 734785"/>
            <a:gd name="connsiteX36" fmla="*/ 691243 w 1099457"/>
            <a:gd name="connsiteY36" fmla="*/ 195943 h 734785"/>
            <a:gd name="connsiteX37" fmla="*/ 625929 w 1099457"/>
            <a:gd name="connsiteY37" fmla="*/ 114300 h 734785"/>
            <a:gd name="connsiteX38" fmla="*/ 574909 w 1099457"/>
            <a:gd name="connsiteY38" fmla="*/ 0 h 7347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1099457" h="734785">
              <a:moveTo>
                <a:pt x="574909" y="0"/>
              </a:moveTo>
              <a:lnTo>
                <a:pt x="500743" y="97971"/>
              </a:lnTo>
              <a:lnTo>
                <a:pt x="413657" y="234043"/>
              </a:lnTo>
              <a:lnTo>
                <a:pt x="299357" y="212271"/>
              </a:lnTo>
              <a:lnTo>
                <a:pt x="239486" y="239485"/>
              </a:lnTo>
              <a:lnTo>
                <a:pt x="250371" y="299357"/>
              </a:lnTo>
              <a:lnTo>
                <a:pt x="185057" y="299357"/>
              </a:lnTo>
              <a:lnTo>
                <a:pt x="136071" y="353785"/>
              </a:lnTo>
              <a:lnTo>
                <a:pt x="92529" y="315685"/>
              </a:lnTo>
              <a:lnTo>
                <a:pt x="0" y="413657"/>
              </a:lnTo>
              <a:lnTo>
                <a:pt x="0" y="527957"/>
              </a:lnTo>
              <a:lnTo>
                <a:pt x="136071" y="642257"/>
              </a:lnTo>
              <a:lnTo>
                <a:pt x="201386" y="620485"/>
              </a:lnTo>
              <a:lnTo>
                <a:pt x="299357" y="702128"/>
              </a:lnTo>
              <a:lnTo>
                <a:pt x="397329" y="691243"/>
              </a:lnTo>
              <a:lnTo>
                <a:pt x="419100" y="500743"/>
              </a:lnTo>
              <a:lnTo>
                <a:pt x="484414" y="451757"/>
              </a:lnTo>
              <a:lnTo>
                <a:pt x="522514" y="478971"/>
              </a:lnTo>
              <a:lnTo>
                <a:pt x="549729" y="462643"/>
              </a:lnTo>
              <a:lnTo>
                <a:pt x="566057" y="408214"/>
              </a:lnTo>
              <a:lnTo>
                <a:pt x="647700" y="527957"/>
              </a:lnTo>
              <a:lnTo>
                <a:pt x="642257" y="593271"/>
              </a:lnTo>
              <a:lnTo>
                <a:pt x="718457" y="571500"/>
              </a:lnTo>
              <a:lnTo>
                <a:pt x="745671" y="609600"/>
              </a:lnTo>
              <a:lnTo>
                <a:pt x="751114" y="669471"/>
              </a:lnTo>
              <a:lnTo>
                <a:pt x="816429" y="669471"/>
              </a:lnTo>
              <a:lnTo>
                <a:pt x="876300" y="734785"/>
              </a:lnTo>
              <a:lnTo>
                <a:pt x="968829" y="594972"/>
              </a:lnTo>
              <a:lnTo>
                <a:pt x="1099457" y="566057"/>
              </a:lnTo>
              <a:lnTo>
                <a:pt x="1039586" y="522514"/>
              </a:lnTo>
              <a:lnTo>
                <a:pt x="1045029" y="473528"/>
              </a:lnTo>
              <a:lnTo>
                <a:pt x="974271" y="375557"/>
              </a:lnTo>
              <a:lnTo>
                <a:pt x="947057" y="364671"/>
              </a:lnTo>
              <a:lnTo>
                <a:pt x="941614" y="315685"/>
              </a:lnTo>
              <a:lnTo>
                <a:pt x="887186" y="272143"/>
              </a:lnTo>
              <a:lnTo>
                <a:pt x="865414" y="288471"/>
              </a:lnTo>
              <a:lnTo>
                <a:pt x="691243" y="195943"/>
              </a:lnTo>
              <a:lnTo>
                <a:pt x="625929" y="114300"/>
              </a:lnTo>
              <a:lnTo>
                <a:pt x="574909" y="0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3</xdr:col>
      <xdr:colOff>585977</xdr:colOff>
      <xdr:row>9</xdr:row>
      <xdr:rowOff>35173</xdr:rowOff>
    </xdr:from>
    <xdr:to>
      <xdr:col>5</xdr:col>
      <xdr:colOff>132523</xdr:colOff>
      <xdr:row>14</xdr:row>
      <xdr:rowOff>59687</xdr:rowOff>
    </xdr:to>
    <xdr:sp macro="" textlink="">
      <xdr:nvSpPr>
        <xdr:cNvPr id="8" name="Karlovačka_županija"/>
        <xdr:cNvSpPr/>
      </xdr:nvSpPr>
      <xdr:spPr>
        <a:xfrm>
          <a:off x="3243452" y="2006848"/>
          <a:ext cx="765746" cy="977014"/>
        </a:xfrm>
        <a:custGeom>
          <a:avLst/>
          <a:gdLst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55134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432109 w 1124414"/>
            <a:gd name="connsiteY38" fmla="*/ 1231281 h 1440366"/>
            <a:gd name="connsiteX39" fmla="*/ 269487 w 1124414"/>
            <a:gd name="connsiteY39" fmla="*/ 1073305 h 1440366"/>
            <a:gd name="connsiteX40" fmla="*/ 185853 w 1124414"/>
            <a:gd name="connsiteY40" fmla="*/ 1110476 h 1440366"/>
            <a:gd name="connsiteX41" fmla="*/ 88280 w 1124414"/>
            <a:gd name="connsiteY41" fmla="*/ 1054720 h 1440366"/>
            <a:gd name="connsiteX42" fmla="*/ 23231 w 1124414"/>
            <a:gd name="connsiteY42" fmla="*/ 1012902 h 1440366"/>
            <a:gd name="connsiteX43" fmla="*/ 9292 w 1124414"/>
            <a:gd name="connsiteY43" fmla="*/ 961793 h 1440366"/>
            <a:gd name="connsiteX44" fmla="*/ 0 w 1124414"/>
            <a:gd name="connsiteY44" fmla="*/ 831695 h 1440366"/>
            <a:gd name="connsiteX45" fmla="*/ 13939 w 1124414"/>
            <a:gd name="connsiteY45" fmla="*/ 734122 h 1440366"/>
            <a:gd name="connsiteX46" fmla="*/ 69695 w 1124414"/>
            <a:gd name="connsiteY46" fmla="*/ 720183 h 1440366"/>
            <a:gd name="connsiteX47" fmla="*/ 153329 w 1124414"/>
            <a:gd name="connsiteY47" fmla="*/ 775939 h 1440366"/>
            <a:gd name="connsiteX48" fmla="*/ 218378 w 1124414"/>
            <a:gd name="connsiteY48" fmla="*/ 724829 h 1440366"/>
            <a:gd name="connsiteX49" fmla="*/ 297365 w 1124414"/>
            <a:gd name="connsiteY49" fmla="*/ 617963 h 1440366"/>
            <a:gd name="connsiteX50" fmla="*/ 292719 w 1124414"/>
            <a:gd name="connsiteY50" fmla="*/ 529683 h 1440366"/>
            <a:gd name="connsiteX51" fmla="*/ 348475 w 1124414"/>
            <a:gd name="connsiteY51" fmla="*/ 469281 h 1440366"/>
            <a:gd name="connsiteX52" fmla="*/ 408878 w 1124414"/>
            <a:gd name="connsiteY52" fmla="*/ 511098 h 1440366"/>
            <a:gd name="connsiteX53" fmla="*/ 492512 w 1124414"/>
            <a:gd name="connsiteY53" fmla="*/ 459988 h 1440366"/>
            <a:gd name="connsiteX54" fmla="*/ 413524 w 1124414"/>
            <a:gd name="connsiteY54" fmla="*/ 367061 h 1440366"/>
            <a:gd name="connsiteX55" fmla="*/ 404231 w 1124414"/>
            <a:gd name="connsiteY55" fmla="*/ 311305 h 1440366"/>
            <a:gd name="connsiteX56" fmla="*/ 390292 w 1124414"/>
            <a:gd name="connsiteY56" fmla="*/ 269488 h 1440366"/>
            <a:gd name="connsiteX57" fmla="*/ 450695 w 1124414"/>
            <a:gd name="connsiteY57" fmla="*/ 213732 h 1440366"/>
            <a:gd name="connsiteX58" fmla="*/ 538975 w 1124414"/>
            <a:gd name="connsiteY58" fmla="*/ 199793 h 1440366"/>
            <a:gd name="connsiteX59" fmla="*/ 464634 w 1124414"/>
            <a:gd name="connsiteY59" fmla="*/ 88281 h 1440366"/>
            <a:gd name="connsiteX60" fmla="*/ 422817 w 1124414"/>
            <a:gd name="connsiteY60" fmla="*/ 148683 h 1440366"/>
            <a:gd name="connsiteX61" fmla="*/ 367061 w 1124414"/>
            <a:gd name="connsiteY61" fmla="*/ 78988 h 1440366"/>
            <a:gd name="connsiteX62" fmla="*/ 399585 w 1124414"/>
            <a:gd name="connsiteY62" fmla="*/ 32524 h 1440366"/>
            <a:gd name="connsiteX63" fmla="*/ 450695 w 1124414"/>
            <a:gd name="connsiteY63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432109 w 1124414"/>
            <a:gd name="connsiteY38" fmla="*/ 1231281 h 1440366"/>
            <a:gd name="connsiteX39" fmla="*/ 269487 w 1124414"/>
            <a:gd name="connsiteY39" fmla="*/ 1073305 h 1440366"/>
            <a:gd name="connsiteX40" fmla="*/ 185853 w 1124414"/>
            <a:gd name="connsiteY40" fmla="*/ 1110476 h 1440366"/>
            <a:gd name="connsiteX41" fmla="*/ 88280 w 1124414"/>
            <a:gd name="connsiteY41" fmla="*/ 1054720 h 1440366"/>
            <a:gd name="connsiteX42" fmla="*/ 23231 w 1124414"/>
            <a:gd name="connsiteY42" fmla="*/ 1012902 h 1440366"/>
            <a:gd name="connsiteX43" fmla="*/ 9292 w 1124414"/>
            <a:gd name="connsiteY43" fmla="*/ 961793 h 1440366"/>
            <a:gd name="connsiteX44" fmla="*/ 0 w 1124414"/>
            <a:gd name="connsiteY44" fmla="*/ 831695 h 1440366"/>
            <a:gd name="connsiteX45" fmla="*/ 13939 w 1124414"/>
            <a:gd name="connsiteY45" fmla="*/ 734122 h 1440366"/>
            <a:gd name="connsiteX46" fmla="*/ 69695 w 1124414"/>
            <a:gd name="connsiteY46" fmla="*/ 720183 h 1440366"/>
            <a:gd name="connsiteX47" fmla="*/ 153329 w 1124414"/>
            <a:gd name="connsiteY47" fmla="*/ 775939 h 1440366"/>
            <a:gd name="connsiteX48" fmla="*/ 218378 w 1124414"/>
            <a:gd name="connsiteY48" fmla="*/ 724829 h 1440366"/>
            <a:gd name="connsiteX49" fmla="*/ 297365 w 1124414"/>
            <a:gd name="connsiteY49" fmla="*/ 617963 h 1440366"/>
            <a:gd name="connsiteX50" fmla="*/ 292719 w 1124414"/>
            <a:gd name="connsiteY50" fmla="*/ 529683 h 1440366"/>
            <a:gd name="connsiteX51" fmla="*/ 348475 w 1124414"/>
            <a:gd name="connsiteY51" fmla="*/ 469281 h 1440366"/>
            <a:gd name="connsiteX52" fmla="*/ 408878 w 1124414"/>
            <a:gd name="connsiteY52" fmla="*/ 511098 h 1440366"/>
            <a:gd name="connsiteX53" fmla="*/ 492512 w 1124414"/>
            <a:gd name="connsiteY53" fmla="*/ 459988 h 1440366"/>
            <a:gd name="connsiteX54" fmla="*/ 413524 w 1124414"/>
            <a:gd name="connsiteY54" fmla="*/ 367061 h 1440366"/>
            <a:gd name="connsiteX55" fmla="*/ 404231 w 1124414"/>
            <a:gd name="connsiteY55" fmla="*/ 311305 h 1440366"/>
            <a:gd name="connsiteX56" fmla="*/ 390292 w 1124414"/>
            <a:gd name="connsiteY56" fmla="*/ 269488 h 1440366"/>
            <a:gd name="connsiteX57" fmla="*/ 450695 w 1124414"/>
            <a:gd name="connsiteY57" fmla="*/ 213732 h 1440366"/>
            <a:gd name="connsiteX58" fmla="*/ 538975 w 1124414"/>
            <a:gd name="connsiteY58" fmla="*/ 199793 h 1440366"/>
            <a:gd name="connsiteX59" fmla="*/ 464634 w 1124414"/>
            <a:gd name="connsiteY59" fmla="*/ 88281 h 1440366"/>
            <a:gd name="connsiteX60" fmla="*/ 422817 w 1124414"/>
            <a:gd name="connsiteY60" fmla="*/ 148683 h 1440366"/>
            <a:gd name="connsiteX61" fmla="*/ 367061 w 1124414"/>
            <a:gd name="connsiteY61" fmla="*/ 78988 h 1440366"/>
            <a:gd name="connsiteX62" fmla="*/ 399585 w 1124414"/>
            <a:gd name="connsiteY62" fmla="*/ 32524 h 1440366"/>
            <a:gd name="connsiteX63" fmla="*/ 450695 w 1124414"/>
            <a:gd name="connsiteY63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9487 w 1124414"/>
            <a:gd name="connsiteY38" fmla="*/ 1073305 h 1440366"/>
            <a:gd name="connsiteX39" fmla="*/ 185853 w 1124414"/>
            <a:gd name="connsiteY39" fmla="*/ 1110476 h 1440366"/>
            <a:gd name="connsiteX40" fmla="*/ 88280 w 1124414"/>
            <a:gd name="connsiteY40" fmla="*/ 1054720 h 1440366"/>
            <a:gd name="connsiteX41" fmla="*/ 23231 w 1124414"/>
            <a:gd name="connsiteY41" fmla="*/ 1012902 h 1440366"/>
            <a:gd name="connsiteX42" fmla="*/ 9292 w 1124414"/>
            <a:gd name="connsiteY42" fmla="*/ 961793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85853 w 1124414"/>
            <a:gd name="connsiteY39" fmla="*/ 1110476 h 1440366"/>
            <a:gd name="connsiteX40" fmla="*/ 88280 w 1124414"/>
            <a:gd name="connsiteY40" fmla="*/ 1054720 h 1440366"/>
            <a:gd name="connsiteX41" fmla="*/ 23231 w 1124414"/>
            <a:gd name="connsiteY41" fmla="*/ 1012902 h 1440366"/>
            <a:gd name="connsiteX42" fmla="*/ 9292 w 1124414"/>
            <a:gd name="connsiteY42" fmla="*/ 961793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88280 w 1124414"/>
            <a:gd name="connsiteY40" fmla="*/ 1054720 h 1440366"/>
            <a:gd name="connsiteX41" fmla="*/ 23231 w 1124414"/>
            <a:gd name="connsiteY41" fmla="*/ 1012902 h 1440366"/>
            <a:gd name="connsiteX42" fmla="*/ 9292 w 1124414"/>
            <a:gd name="connsiteY42" fmla="*/ 961793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3231 w 1124414"/>
            <a:gd name="connsiteY41" fmla="*/ 1012902 h 1440366"/>
            <a:gd name="connsiteX42" fmla="*/ 9292 w 1124414"/>
            <a:gd name="connsiteY42" fmla="*/ 961793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9292 w 1124414"/>
            <a:gd name="connsiteY42" fmla="*/ 961793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69073 w 1124414"/>
            <a:gd name="connsiteY32" fmla="*/ 1356732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11670 w 1124414"/>
            <a:gd name="connsiteY42" fmla="*/ 921312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76206 w 1124414"/>
            <a:gd name="connsiteY32" fmla="*/ 1351969 h 1440366"/>
            <a:gd name="connsiteX33" fmla="*/ 662269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11670 w 1124414"/>
            <a:gd name="connsiteY42" fmla="*/ 921312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76206 w 1124414"/>
            <a:gd name="connsiteY32" fmla="*/ 1351969 h 1440366"/>
            <a:gd name="connsiteX33" fmla="*/ 669403 w 1124414"/>
            <a:gd name="connsiteY33" fmla="*/ 1384610 h 1440366"/>
            <a:gd name="connsiteX34" fmla="*/ 683012 w 1124414"/>
            <a:gd name="connsiteY34" fmla="*/ 1431073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11670 w 1124414"/>
            <a:gd name="connsiteY42" fmla="*/ 921312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76206 w 1124414"/>
            <a:gd name="connsiteY32" fmla="*/ 1351969 h 1440366"/>
            <a:gd name="connsiteX33" fmla="*/ 669403 w 1124414"/>
            <a:gd name="connsiteY33" fmla="*/ 1384610 h 1440366"/>
            <a:gd name="connsiteX34" fmla="*/ 692524 w 1124414"/>
            <a:gd name="connsiteY34" fmla="*/ 1421548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62207 w 1124414"/>
            <a:gd name="connsiteY37" fmla="*/ 1370671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11670 w 1124414"/>
            <a:gd name="connsiteY42" fmla="*/ 921312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  <a:gd name="connsiteX0" fmla="*/ 450695 w 1124414"/>
            <a:gd name="connsiteY0" fmla="*/ 0 h 1440366"/>
            <a:gd name="connsiteX1" fmla="*/ 669073 w 1124414"/>
            <a:gd name="connsiteY1" fmla="*/ 236963 h 1440366"/>
            <a:gd name="connsiteX2" fmla="*/ 669073 w 1124414"/>
            <a:gd name="connsiteY2" fmla="*/ 236963 h 1440366"/>
            <a:gd name="connsiteX3" fmla="*/ 710890 w 1124414"/>
            <a:gd name="connsiteY3" fmla="*/ 292720 h 1440366"/>
            <a:gd name="connsiteX4" fmla="*/ 775939 w 1124414"/>
            <a:gd name="connsiteY4" fmla="*/ 232317 h 1440366"/>
            <a:gd name="connsiteX5" fmla="*/ 943207 w 1124414"/>
            <a:gd name="connsiteY5" fmla="*/ 306659 h 1440366"/>
            <a:gd name="connsiteX6" fmla="*/ 915329 w 1124414"/>
            <a:gd name="connsiteY6" fmla="*/ 343829 h 1440366"/>
            <a:gd name="connsiteX7" fmla="*/ 985024 w 1124414"/>
            <a:gd name="connsiteY7" fmla="*/ 399585 h 1440366"/>
            <a:gd name="connsiteX8" fmla="*/ 1054719 w 1124414"/>
            <a:gd name="connsiteY8" fmla="*/ 362415 h 1440366"/>
            <a:gd name="connsiteX9" fmla="*/ 1124414 w 1124414"/>
            <a:gd name="connsiteY9" fmla="*/ 413524 h 1440366"/>
            <a:gd name="connsiteX10" fmla="*/ 1115121 w 1124414"/>
            <a:gd name="connsiteY10" fmla="*/ 483220 h 1440366"/>
            <a:gd name="connsiteX11" fmla="*/ 1064012 w 1124414"/>
            <a:gd name="connsiteY11" fmla="*/ 455341 h 1440366"/>
            <a:gd name="connsiteX12" fmla="*/ 1031487 w 1124414"/>
            <a:gd name="connsiteY12" fmla="*/ 455341 h 1440366"/>
            <a:gd name="connsiteX13" fmla="*/ 1017548 w 1124414"/>
            <a:gd name="connsiteY13" fmla="*/ 515744 h 1440366"/>
            <a:gd name="connsiteX14" fmla="*/ 1045426 w 1124414"/>
            <a:gd name="connsiteY14" fmla="*/ 538976 h 1440366"/>
            <a:gd name="connsiteX15" fmla="*/ 1045426 w 1124414"/>
            <a:gd name="connsiteY15" fmla="*/ 538976 h 1440366"/>
            <a:gd name="connsiteX16" fmla="*/ 1022195 w 1124414"/>
            <a:gd name="connsiteY16" fmla="*/ 641195 h 1440366"/>
            <a:gd name="connsiteX17" fmla="*/ 998963 w 1124414"/>
            <a:gd name="connsiteY17" fmla="*/ 669073 h 1440366"/>
            <a:gd name="connsiteX18" fmla="*/ 971085 w 1124414"/>
            <a:gd name="connsiteY18" fmla="*/ 645841 h 1440366"/>
            <a:gd name="connsiteX19" fmla="*/ 952500 w 1124414"/>
            <a:gd name="connsiteY19" fmla="*/ 692305 h 1440366"/>
            <a:gd name="connsiteX20" fmla="*/ 1003609 w 1124414"/>
            <a:gd name="connsiteY20" fmla="*/ 748061 h 1440366"/>
            <a:gd name="connsiteX21" fmla="*/ 980378 w 1124414"/>
            <a:gd name="connsiteY21" fmla="*/ 803817 h 1440366"/>
            <a:gd name="connsiteX22" fmla="*/ 971085 w 1124414"/>
            <a:gd name="connsiteY22" fmla="*/ 836341 h 1440366"/>
            <a:gd name="connsiteX23" fmla="*/ 1022195 w 1124414"/>
            <a:gd name="connsiteY23" fmla="*/ 882805 h 1440366"/>
            <a:gd name="connsiteX24" fmla="*/ 966439 w 1124414"/>
            <a:gd name="connsiteY24" fmla="*/ 929268 h 1440366"/>
            <a:gd name="connsiteX25" fmla="*/ 933914 w 1124414"/>
            <a:gd name="connsiteY25" fmla="*/ 980378 h 1440366"/>
            <a:gd name="connsiteX26" fmla="*/ 961792 w 1124414"/>
            <a:gd name="connsiteY26" fmla="*/ 1059366 h 1440366"/>
            <a:gd name="connsiteX27" fmla="*/ 910682 w 1124414"/>
            <a:gd name="connsiteY27" fmla="*/ 1161585 h 1440366"/>
            <a:gd name="connsiteX28" fmla="*/ 952500 w 1124414"/>
            <a:gd name="connsiteY28" fmla="*/ 1263805 h 1440366"/>
            <a:gd name="connsiteX29" fmla="*/ 887451 w 1124414"/>
            <a:gd name="connsiteY29" fmla="*/ 1370671 h 1440366"/>
            <a:gd name="connsiteX30" fmla="*/ 794524 w 1124414"/>
            <a:gd name="connsiteY30" fmla="*/ 1356732 h 1440366"/>
            <a:gd name="connsiteX31" fmla="*/ 720182 w 1124414"/>
            <a:gd name="connsiteY31" fmla="*/ 1389256 h 1440366"/>
            <a:gd name="connsiteX32" fmla="*/ 676206 w 1124414"/>
            <a:gd name="connsiteY32" fmla="*/ 1351969 h 1440366"/>
            <a:gd name="connsiteX33" fmla="*/ 669403 w 1124414"/>
            <a:gd name="connsiteY33" fmla="*/ 1384610 h 1440366"/>
            <a:gd name="connsiteX34" fmla="*/ 692524 w 1124414"/>
            <a:gd name="connsiteY34" fmla="*/ 1421548 h 1440366"/>
            <a:gd name="connsiteX35" fmla="*/ 645841 w 1124414"/>
            <a:gd name="connsiteY35" fmla="*/ 1440366 h 1440366"/>
            <a:gd name="connsiteX36" fmla="*/ 617963 w 1124414"/>
            <a:gd name="connsiteY36" fmla="*/ 1379963 h 1440366"/>
            <a:gd name="connsiteX37" fmla="*/ 574097 w 1124414"/>
            <a:gd name="connsiteY37" fmla="*/ 1380196 h 1440366"/>
            <a:gd name="connsiteX38" fmla="*/ 262352 w 1124414"/>
            <a:gd name="connsiteY38" fmla="*/ 1078068 h 1440366"/>
            <a:gd name="connsiteX39" fmla="*/ 176341 w 1124414"/>
            <a:gd name="connsiteY39" fmla="*/ 1115238 h 1440366"/>
            <a:gd name="connsiteX40" fmla="*/ 76389 w 1124414"/>
            <a:gd name="connsiteY40" fmla="*/ 1059482 h 1440366"/>
            <a:gd name="connsiteX41" fmla="*/ 27986 w 1124414"/>
            <a:gd name="connsiteY41" fmla="*/ 996233 h 1440366"/>
            <a:gd name="connsiteX42" fmla="*/ 11670 w 1124414"/>
            <a:gd name="connsiteY42" fmla="*/ 921312 h 1440366"/>
            <a:gd name="connsiteX43" fmla="*/ 0 w 1124414"/>
            <a:gd name="connsiteY43" fmla="*/ 831695 h 1440366"/>
            <a:gd name="connsiteX44" fmla="*/ 13939 w 1124414"/>
            <a:gd name="connsiteY44" fmla="*/ 734122 h 1440366"/>
            <a:gd name="connsiteX45" fmla="*/ 69695 w 1124414"/>
            <a:gd name="connsiteY45" fmla="*/ 720183 h 1440366"/>
            <a:gd name="connsiteX46" fmla="*/ 153329 w 1124414"/>
            <a:gd name="connsiteY46" fmla="*/ 775939 h 1440366"/>
            <a:gd name="connsiteX47" fmla="*/ 218378 w 1124414"/>
            <a:gd name="connsiteY47" fmla="*/ 724829 h 1440366"/>
            <a:gd name="connsiteX48" fmla="*/ 297365 w 1124414"/>
            <a:gd name="connsiteY48" fmla="*/ 617963 h 1440366"/>
            <a:gd name="connsiteX49" fmla="*/ 292719 w 1124414"/>
            <a:gd name="connsiteY49" fmla="*/ 529683 h 1440366"/>
            <a:gd name="connsiteX50" fmla="*/ 348475 w 1124414"/>
            <a:gd name="connsiteY50" fmla="*/ 469281 h 1440366"/>
            <a:gd name="connsiteX51" fmla="*/ 408878 w 1124414"/>
            <a:gd name="connsiteY51" fmla="*/ 511098 h 1440366"/>
            <a:gd name="connsiteX52" fmla="*/ 492512 w 1124414"/>
            <a:gd name="connsiteY52" fmla="*/ 459988 h 1440366"/>
            <a:gd name="connsiteX53" fmla="*/ 413524 w 1124414"/>
            <a:gd name="connsiteY53" fmla="*/ 367061 h 1440366"/>
            <a:gd name="connsiteX54" fmla="*/ 404231 w 1124414"/>
            <a:gd name="connsiteY54" fmla="*/ 311305 h 1440366"/>
            <a:gd name="connsiteX55" fmla="*/ 390292 w 1124414"/>
            <a:gd name="connsiteY55" fmla="*/ 269488 h 1440366"/>
            <a:gd name="connsiteX56" fmla="*/ 450695 w 1124414"/>
            <a:gd name="connsiteY56" fmla="*/ 213732 h 1440366"/>
            <a:gd name="connsiteX57" fmla="*/ 538975 w 1124414"/>
            <a:gd name="connsiteY57" fmla="*/ 199793 h 1440366"/>
            <a:gd name="connsiteX58" fmla="*/ 464634 w 1124414"/>
            <a:gd name="connsiteY58" fmla="*/ 88281 h 1440366"/>
            <a:gd name="connsiteX59" fmla="*/ 422817 w 1124414"/>
            <a:gd name="connsiteY59" fmla="*/ 148683 h 1440366"/>
            <a:gd name="connsiteX60" fmla="*/ 367061 w 1124414"/>
            <a:gd name="connsiteY60" fmla="*/ 78988 h 1440366"/>
            <a:gd name="connsiteX61" fmla="*/ 399585 w 1124414"/>
            <a:gd name="connsiteY61" fmla="*/ 32524 h 1440366"/>
            <a:gd name="connsiteX62" fmla="*/ 450695 w 1124414"/>
            <a:gd name="connsiteY62" fmla="*/ 0 h 14403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</a:cxnLst>
          <a:rect l="l" t="t" r="r" b="b"/>
          <a:pathLst>
            <a:path w="1124414" h="1440366">
              <a:moveTo>
                <a:pt x="450695" y="0"/>
              </a:moveTo>
              <a:lnTo>
                <a:pt x="669073" y="236963"/>
              </a:lnTo>
              <a:lnTo>
                <a:pt x="669073" y="236963"/>
              </a:lnTo>
              <a:lnTo>
                <a:pt x="710890" y="292720"/>
              </a:lnTo>
              <a:lnTo>
                <a:pt x="775939" y="232317"/>
              </a:lnTo>
              <a:lnTo>
                <a:pt x="943207" y="306659"/>
              </a:lnTo>
              <a:lnTo>
                <a:pt x="915329" y="343829"/>
              </a:lnTo>
              <a:lnTo>
                <a:pt x="985024" y="399585"/>
              </a:lnTo>
              <a:lnTo>
                <a:pt x="1054719" y="362415"/>
              </a:lnTo>
              <a:lnTo>
                <a:pt x="1124414" y="413524"/>
              </a:lnTo>
              <a:lnTo>
                <a:pt x="1115121" y="483220"/>
              </a:lnTo>
              <a:lnTo>
                <a:pt x="1064012" y="455341"/>
              </a:lnTo>
              <a:lnTo>
                <a:pt x="1031487" y="455341"/>
              </a:lnTo>
              <a:lnTo>
                <a:pt x="1017548" y="515744"/>
              </a:lnTo>
              <a:lnTo>
                <a:pt x="1045426" y="538976"/>
              </a:lnTo>
              <a:lnTo>
                <a:pt x="1045426" y="538976"/>
              </a:lnTo>
              <a:lnTo>
                <a:pt x="1022195" y="641195"/>
              </a:lnTo>
              <a:lnTo>
                <a:pt x="998963" y="669073"/>
              </a:lnTo>
              <a:lnTo>
                <a:pt x="971085" y="645841"/>
              </a:lnTo>
              <a:lnTo>
                <a:pt x="952500" y="692305"/>
              </a:lnTo>
              <a:lnTo>
                <a:pt x="1003609" y="748061"/>
              </a:lnTo>
              <a:lnTo>
                <a:pt x="980378" y="803817"/>
              </a:lnTo>
              <a:lnTo>
                <a:pt x="971085" y="836341"/>
              </a:lnTo>
              <a:lnTo>
                <a:pt x="1022195" y="882805"/>
              </a:lnTo>
              <a:lnTo>
                <a:pt x="966439" y="929268"/>
              </a:lnTo>
              <a:lnTo>
                <a:pt x="933914" y="980378"/>
              </a:lnTo>
              <a:lnTo>
                <a:pt x="961792" y="1059366"/>
              </a:lnTo>
              <a:lnTo>
                <a:pt x="910682" y="1161585"/>
              </a:lnTo>
              <a:lnTo>
                <a:pt x="952500" y="1263805"/>
              </a:lnTo>
              <a:lnTo>
                <a:pt x="887451" y="1370671"/>
              </a:lnTo>
              <a:lnTo>
                <a:pt x="794524" y="1356732"/>
              </a:lnTo>
              <a:lnTo>
                <a:pt x="720182" y="1389256"/>
              </a:lnTo>
              <a:lnTo>
                <a:pt x="676206" y="1351969"/>
              </a:lnTo>
              <a:lnTo>
                <a:pt x="669403" y="1384610"/>
              </a:lnTo>
              <a:lnTo>
                <a:pt x="692524" y="1421548"/>
              </a:lnTo>
              <a:lnTo>
                <a:pt x="645841" y="1440366"/>
              </a:lnTo>
              <a:lnTo>
                <a:pt x="617963" y="1379963"/>
              </a:lnTo>
              <a:lnTo>
                <a:pt x="574097" y="1380196"/>
              </a:lnTo>
              <a:lnTo>
                <a:pt x="262352" y="1078068"/>
              </a:lnTo>
              <a:lnTo>
                <a:pt x="176341" y="1115238"/>
              </a:lnTo>
              <a:lnTo>
                <a:pt x="76389" y="1059482"/>
              </a:lnTo>
              <a:lnTo>
                <a:pt x="27986" y="996233"/>
              </a:lnTo>
              <a:lnTo>
                <a:pt x="11670" y="921312"/>
              </a:lnTo>
              <a:lnTo>
                <a:pt x="0" y="831695"/>
              </a:lnTo>
              <a:lnTo>
                <a:pt x="13939" y="734122"/>
              </a:lnTo>
              <a:lnTo>
                <a:pt x="69695" y="720183"/>
              </a:lnTo>
              <a:lnTo>
                <a:pt x="153329" y="775939"/>
              </a:lnTo>
              <a:lnTo>
                <a:pt x="218378" y="724829"/>
              </a:lnTo>
              <a:lnTo>
                <a:pt x="297365" y="617963"/>
              </a:lnTo>
              <a:lnTo>
                <a:pt x="292719" y="529683"/>
              </a:lnTo>
              <a:lnTo>
                <a:pt x="348475" y="469281"/>
              </a:lnTo>
              <a:lnTo>
                <a:pt x="408878" y="511098"/>
              </a:lnTo>
              <a:lnTo>
                <a:pt x="492512" y="459988"/>
              </a:lnTo>
              <a:lnTo>
                <a:pt x="413524" y="367061"/>
              </a:lnTo>
              <a:lnTo>
                <a:pt x="404231" y="311305"/>
              </a:lnTo>
              <a:lnTo>
                <a:pt x="390292" y="269488"/>
              </a:lnTo>
              <a:lnTo>
                <a:pt x="450695" y="213732"/>
              </a:lnTo>
              <a:lnTo>
                <a:pt x="538975" y="199793"/>
              </a:lnTo>
              <a:lnTo>
                <a:pt x="464634" y="88281"/>
              </a:lnTo>
              <a:lnTo>
                <a:pt x="422817" y="148683"/>
              </a:lnTo>
              <a:lnTo>
                <a:pt x="367061" y="78988"/>
              </a:lnTo>
              <a:lnTo>
                <a:pt x="399585" y="32524"/>
              </a:lnTo>
              <a:lnTo>
                <a:pt x="450695" y="0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5</xdr:col>
      <xdr:colOff>604560</xdr:colOff>
      <xdr:row>7</xdr:row>
      <xdr:rowOff>44277</xdr:rowOff>
    </xdr:from>
    <xdr:to>
      <xdr:col>7</xdr:col>
      <xdr:colOff>522638</xdr:colOff>
      <xdr:row>10</xdr:row>
      <xdr:rowOff>147074</xdr:rowOff>
    </xdr:to>
    <xdr:sp macro="" textlink="">
      <xdr:nvSpPr>
        <xdr:cNvPr id="9" name="Bjelovarsko_bilogorska_županija"/>
        <xdr:cNvSpPr/>
      </xdr:nvSpPr>
      <xdr:spPr>
        <a:xfrm>
          <a:off x="4481235" y="1634952"/>
          <a:ext cx="784853" cy="674297"/>
        </a:xfrm>
        <a:custGeom>
          <a:avLst/>
          <a:gdLst>
            <a:gd name="connsiteX0" fmla="*/ 692305 w 1152293"/>
            <a:gd name="connsiteY0" fmla="*/ 329890 h 1003609"/>
            <a:gd name="connsiteX1" fmla="*/ 785232 w 1152293"/>
            <a:gd name="connsiteY1" fmla="*/ 413524 h 1003609"/>
            <a:gd name="connsiteX2" fmla="*/ 887451 w 1152293"/>
            <a:gd name="connsiteY2" fmla="*/ 473927 h 1003609"/>
            <a:gd name="connsiteX3" fmla="*/ 906037 w 1152293"/>
            <a:gd name="connsiteY3" fmla="*/ 534329 h 1003609"/>
            <a:gd name="connsiteX4" fmla="*/ 980378 w 1152293"/>
            <a:gd name="connsiteY4" fmla="*/ 566853 h 1003609"/>
            <a:gd name="connsiteX5" fmla="*/ 980378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54720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85232 w 1152293"/>
            <a:gd name="connsiteY1" fmla="*/ 413524 h 1003609"/>
            <a:gd name="connsiteX2" fmla="*/ 887451 w 1152293"/>
            <a:gd name="connsiteY2" fmla="*/ 473927 h 1003609"/>
            <a:gd name="connsiteX3" fmla="*/ 906037 w 1152293"/>
            <a:gd name="connsiteY3" fmla="*/ 534329 h 1003609"/>
            <a:gd name="connsiteX4" fmla="*/ 980378 w 1152293"/>
            <a:gd name="connsiteY4" fmla="*/ 566853 h 1003609"/>
            <a:gd name="connsiteX5" fmla="*/ 980378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87451 w 1152293"/>
            <a:gd name="connsiteY2" fmla="*/ 473927 h 1003609"/>
            <a:gd name="connsiteX3" fmla="*/ 906037 w 1152293"/>
            <a:gd name="connsiteY3" fmla="*/ 534329 h 1003609"/>
            <a:gd name="connsiteX4" fmla="*/ 980378 w 1152293"/>
            <a:gd name="connsiteY4" fmla="*/ 566853 h 1003609"/>
            <a:gd name="connsiteX5" fmla="*/ 980378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06037 w 1152293"/>
            <a:gd name="connsiteY3" fmla="*/ 534329 h 1003609"/>
            <a:gd name="connsiteX4" fmla="*/ 980378 w 1152293"/>
            <a:gd name="connsiteY4" fmla="*/ 566853 h 1003609"/>
            <a:gd name="connsiteX5" fmla="*/ 980378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06037 w 1152293"/>
            <a:gd name="connsiteY3" fmla="*/ 534329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26842 w 1152293"/>
            <a:gd name="connsiteY6" fmla="*/ 645841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57146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42859 h 1003609"/>
            <a:gd name="connsiteX12" fmla="*/ 957146 w 1152293"/>
            <a:gd name="connsiteY12" fmla="*/ 915329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42859 h 1003609"/>
            <a:gd name="connsiteX12" fmla="*/ 961901 w 1152293"/>
            <a:gd name="connsiteY12" fmla="*/ 910567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06244 w 1152293"/>
            <a:gd name="connsiteY16" fmla="*/ 933914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42859 h 1003609"/>
            <a:gd name="connsiteX12" fmla="*/ 961901 w 1152293"/>
            <a:gd name="connsiteY12" fmla="*/ 910567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18132 w 1152293"/>
            <a:gd name="connsiteY16" fmla="*/ 919627 h 1003609"/>
            <a:gd name="connsiteX17" fmla="*/ 659781 w 1152293"/>
            <a:gd name="connsiteY17" fmla="*/ 971085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42859 h 1003609"/>
            <a:gd name="connsiteX12" fmla="*/ 961901 w 1152293"/>
            <a:gd name="connsiteY12" fmla="*/ 910567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18132 w 1152293"/>
            <a:gd name="connsiteY16" fmla="*/ 919627 h 1003609"/>
            <a:gd name="connsiteX17" fmla="*/ 650271 w 1152293"/>
            <a:gd name="connsiteY17" fmla="*/ 975848 h 1003609"/>
            <a:gd name="connsiteX18" fmla="*/ 622610 w 1152293"/>
            <a:gd name="connsiteY18" fmla="*/ 938561 h 1003609"/>
            <a:gd name="connsiteX19" fmla="*/ 571500 w 1152293"/>
            <a:gd name="connsiteY19" fmla="*/ 971085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1003609"/>
            <a:gd name="connsiteX1" fmla="*/ 792365 w 1152293"/>
            <a:gd name="connsiteY1" fmla="*/ 406380 h 1003609"/>
            <a:gd name="connsiteX2" fmla="*/ 892206 w 1152293"/>
            <a:gd name="connsiteY2" fmla="*/ 466784 h 1003609"/>
            <a:gd name="connsiteX3" fmla="*/ 910793 w 1152293"/>
            <a:gd name="connsiteY3" fmla="*/ 529567 h 1003609"/>
            <a:gd name="connsiteX4" fmla="*/ 980378 w 1152293"/>
            <a:gd name="connsiteY4" fmla="*/ 566853 h 1003609"/>
            <a:gd name="connsiteX5" fmla="*/ 989889 w 1152293"/>
            <a:gd name="connsiteY5" fmla="*/ 566853 h 1003609"/>
            <a:gd name="connsiteX6" fmla="*/ 1033974 w 1152293"/>
            <a:gd name="connsiteY6" fmla="*/ 641078 h 1003609"/>
            <a:gd name="connsiteX7" fmla="*/ 1068659 w 1152293"/>
            <a:gd name="connsiteY7" fmla="*/ 594731 h 1003609"/>
            <a:gd name="connsiteX8" fmla="*/ 1152293 w 1152293"/>
            <a:gd name="connsiteY8" fmla="*/ 669073 h 1003609"/>
            <a:gd name="connsiteX9" fmla="*/ 1061853 w 1152293"/>
            <a:gd name="connsiteY9" fmla="*/ 831695 h 1003609"/>
            <a:gd name="connsiteX10" fmla="*/ 1073305 w 1152293"/>
            <a:gd name="connsiteY10" fmla="*/ 878158 h 1003609"/>
            <a:gd name="connsiteX11" fmla="*/ 1040781 w 1152293"/>
            <a:gd name="connsiteY11" fmla="*/ 942859 h 1003609"/>
            <a:gd name="connsiteX12" fmla="*/ 961901 w 1152293"/>
            <a:gd name="connsiteY12" fmla="*/ 910567 h 1003609"/>
            <a:gd name="connsiteX13" fmla="*/ 831695 w 1152293"/>
            <a:gd name="connsiteY13" fmla="*/ 957146 h 1003609"/>
            <a:gd name="connsiteX14" fmla="*/ 785232 w 1152293"/>
            <a:gd name="connsiteY14" fmla="*/ 906036 h 1003609"/>
            <a:gd name="connsiteX15" fmla="*/ 743415 w 1152293"/>
            <a:gd name="connsiteY15" fmla="*/ 952500 h 1003609"/>
            <a:gd name="connsiteX16" fmla="*/ 718132 w 1152293"/>
            <a:gd name="connsiteY16" fmla="*/ 919627 h 1003609"/>
            <a:gd name="connsiteX17" fmla="*/ 650271 w 1152293"/>
            <a:gd name="connsiteY17" fmla="*/ 975848 h 1003609"/>
            <a:gd name="connsiteX18" fmla="*/ 622610 w 1152293"/>
            <a:gd name="connsiteY18" fmla="*/ 938561 h 1003609"/>
            <a:gd name="connsiteX19" fmla="*/ 561990 w 1152293"/>
            <a:gd name="connsiteY19" fmla="*/ 966322 h 1003609"/>
            <a:gd name="connsiteX20" fmla="*/ 501805 w 1152293"/>
            <a:gd name="connsiteY20" fmla="*/ 919975 h 1003609"/>
            <a:gd name="connsiteX21" fmla="*/ 478573 w 1152293"/>
            <a:gd name="connsiteY21" fmla="*/ 1003609 h 1003609"/>
            <a:gd name="connsiteX22" fmla="*/ 394939 w 1152293"/>
            <a:gd name="connsiteY22" fmla="*/ 924622 h 1003609"/>
            <a:gd name="connsiteX23" fmla="*/ 353122 w 1152293"/>
            <a:gd name="connsiteY23" fmla="*/ 845634 h 1003609"/>
            <a:gd name="connsiteX24" fmla="*/ 315951 w 1152293"/>
            <a:gd name="connsiteY24" fmla="*/ 766646 h 1003609"/>
            <a:gd name="connsiteX25" fmla="*/ 278781 w 1152293"/>
            <a:gd name="connsiteY25" fmla="*/ 775939 h 1003609"/>
            <a:gd name="connsiteX26" fmla="*/ 218378 w 1152293"/>
            <a:gd name="connsiteY26" fmla="*/ 706244 h 1003609"/>
            <a:gd name="connsiteX27" fmla="*/ 106866 w 1152293"/>
            <a:gd name="connsiteY27" fmla="*/ 706244 h 1003609"/>
            <a:gd name="connsiteX28" fmla="*/ 13939 w 1152293"/>
            <a:gd name="connsiteY28" fmla="*/ 617963 h 1003609"/>
            <a:gd name="connsiteX29" fmla="*/ 0 w 1152293"/>
            <a:gd name="connsiteY29" fmla="*/ 506451 h 1003609"/>
            <a:gd name="connsiteX30" fmla="*/ 51110 w 1152293"/>
            <a:gd name="connsiteY30" fmla="*/ 464634 h 1003609"/>
            <a:gd name="connsiteX31" fmla="*/ 125451 w 1152293"/>
            <a:gd name="connsiteY31" fmla="*/ 511097 h 1003609"/>
            <a:gd name="connsiteX32" fmla="*/ 120805 w 1152293"/>
            <a:gd name="connsiteY32" fmla="*/ 422817 h 1003609"/>
            <a:gd name="connsiteX33" fmla="*/ 167268 w 1152293"/>
            <a:gd name="connsiteY33" fmla="*/ 404231 h 1003609"/>
            <a:gd name="connsiteX34" fmla="*/ 176561 w 1152293"/>
            <a:gd name="connsiteY34" fmla="*/ 455341 h 1003609"/>
            <a:gd name="connsiteX35" fmla="*/ 227671 w 1152293"/>
            <a:gd name="connsiteY35" fmla="*/ 390292 h 1003609"/>
            <a:gd name="connsiteX36" fmla="*/ 213732 w 1152293"/>
            <a:gd name="connsiteY36" fmla="*/ 283427 h 1003609"/>
            <a:gd name="connsiteX37" fmla="*/ 236963 w 1152293"/>
            <a:gd name="connsiteY37" fmla="*/ 88280 h 1003609"/>
            <a:gd name="connsiteX38" fmla="*/ 302012 w 1152293"/>
            <a:gd name="connsiteY38" fmla="*/ 41817 h 1003609"/>
            <a:gd name="connsiteX39" fmla="*/ 339183 w 1152293"/>
            <a:gd name="connsiteY39" fmla="*/ 69695 h 1003609"/>
            <a:gd name="connsiteX40" fmla="*/ 381000 w 1152293"/>
            <a:gd name="connsiteY40" fmla="*/ 0 h 1003609"/>
            <a:gd name="connsiteX41" fmla="*/ 464634 w 1152293"/>
            <a:gd name="connsiteY41" fmla="*/ 120805 h 1003609"/>
            <a:gd name="connsiteX42" fmla="*/ 455342 w 1152293"/>
            <a:gd name="connsiteY42" fmla="*/ 181207 h 1003609"/>
            <a:gd name="connsiteX43" fmla="*/ 534329 w 1152293"/>
            <a:gd name="connsiteY43" fmla="*/ 157975 h 1003609"/>
            <a:gd name="connsiteX44" fmla="*/ 562207 w 1152293"/>
            <a:gd name="connsiteY44" fmla="*/ 199792 h 1003609"/>
            <a:gd name="connsiteX45" fmla="*/ 562207 w 1152293"/>
            <a:gd name="connsiteY45" fmla="*/ 260195 h 1003609"/>
            <a:gd name="connsiteX46" fmla="*/ 636549 w 1152293"/>
            <a:gd name="connsiteY46" fmla="*/ 264841 h 1003609"/>
            <a:gd name="connsiteX47" fmla="*/ 692305 w 1152293"/>
            <a:gd name="connsiteY47" fmla="*/ 329890 h 1003609"/>
            <a:gd name="connsiteX0" fmla="*/ 692305 w 1152293"/>
            <a:gd name="connsiteY0" fmla="*/ 329890 h 994084"/>
            <a:gd name="connsiteX1" fmla="*/ 792365 w 1152293"/>
            <a:gd name="connsiteY1" fmla="*/ 406380 h 994084"/>
            <a:gd name="connsiteX2" fmla="*/ 892206 w 1152293"/>
            <a:gd name="connsiteY2" fmla="*/ 466784 h 994084"/>
            <a:gd name="connsiteX3" fmla="*/ 910793 w 1152293"/>
            <a:gd name="connsiteY3" fmla="*/ 529567 h 994084"/>
            <a:gd name="connsiteX4" fmla="*/ 980378 w 1152293"/>
            <a:gd name="connsiteY4" fmla="*/ 566853 h 994084"/>
            <a:gd name="connsiteX5" fmla="*/ 989889 w 1152293"/>
            <a:gd name="connsiteY5" fmla="*/ 566853 h 994084"/>
            <a:gd name="connsiteX6" fmla="*/ 1033974 w 1152293"/>
            <a:gd name="connsiteY6" fmla="*/ 641078 h 994084"/>
            <a:gd name="connsiteX7" fmla="*/ 1068659 w 1152293"/>
            <a:gd name="connsiteY7" fmla="*/ 594731 h 994084"/>
            <a:gd name="connsiteX8" fmla="*/ 1152293 w 1152293"/>
            <a:gd name="connsiteY8" fmla="*/ 669073 h 994084"/>
            <a:gd name="connsiteX9" fmla="*/ 1061853 w 1152293"/>
            <a:gd name="connsiteY9" fmla="*/ 831695 h 994084"/>
            <a:gd name="connsiteX10" fmla="*/ 1073305 w 1152293"/>
            <a:gd name="connsiteY10" fmla="*/ 878158 h 994084"/>
            <a:gd name="connsiteX11" fmla="*/ 1040781 w 1152293"/>
            <a:gd name="connsiteY11" fmla="*/ 942859 h 994084"/>
            <a:gd name="connsiteX12" fmla="*/ 961901 w 1152293"/>
            <a:gd name="connsiteY12" fmla="*/ 910567 h 994084"/>
            <a:gd name="connsiteX13" fmla="*/ 831695 w 1152293"/>
            <a:gd name="connsiteY13" fmla="*/ 957146 h 994084"/>
            <a:gd name="connsiteX14" fmla="*/ 785232 w 1152293"/>
            <a:gd name="connsiteY14" fmla="*/ 906036 h 994084"/>
            <a:gd name="connsiteX15" fmla="*/ 743415 w 1152293"/>
            <a:gd name="connsiteY15" fmla="*/ 952500 h 994084"/>
            <a:gd name="connsiteX16" fmla="*/ 718132 w 1152293"/>
            <a:gd name="connsiteY16" fmla="*/ 919627 h 994084"/>
            <a:gd name="connsiteX17" fmla="*/ 650271 w 1152293"/>
            <a:gd name="connsiteY17" fmla="*/ 975848 h 994084"/>
            <a:gd name="connsiteX18" fmla="*/ 622610 w 1152293"/>
            <a:gd name="connsiteY18" fmla="*/ 938561 h 994084"/>
            <a:gd name="connsiteX19" fmla="*/ 561990 w 1152293"/>
            <a:gd name="connsiteY19" fmla="*/ 966322 h 994084"/>
            <a:gd name="connsiteX20" fmla="*/ 501805 w 1152293"/>
            <a:gd name="connsiteY20" fmla="*/ 919975 h 994084"/>
            <a:gd name="connsiteX21" fmla="*/ 471440 w 1152293"/>
            <a:gd name="connsiteY21" fmla="*/ 994084 h 994084"/>
            <a:gd name="connsiteX22" fmla="*/ 394939 w 1152293"/>
            <a:gd name="connsiteY22" fmla="*/ 924622 h 994084"/>
            <a:gd name="connsiteX23" fmla="*/ 353122 w 1152293"/>
            <a:gd name="connsiteY23" fmla="*/ 845634 h 994084"/>
            <a:gd name="connsiteX24" fmla="*/ 315951 w 1152293"/>
            <a:gd name="connsiteY24" fmla="*/ 766646 h 994084"/>
            <a:gd name="connsiteX25" fmla="*/ 278781 w 1152293"/>
            <a:gd name="connsiteY25" fmla="*/ 775939 h 994084"/>
            <a:gd name="connsiteX26" fmla="*/ 218378 w 1152293"/>
            <a:gd name="connsiteY26" fmla="*/ 706244 h 994084"/>
            <a:gd name="connsiteX27" fmla="*/ 106866 w 1152293"/>
            <a:gd name="connsiteY27" fmla="*/ 706244 h 994084"/>
            <a:gd name="connsiteX28" fmla="*/ 13939 w 1152293"/>
            <a:gd name="connsiteY28" fmla="*/ 617963 h 994084"/>
            <a:gd name="connsiteX29" fmla="*/ 0 w 1152293"/>
            <a:gd name="connsiteY29" fmla="*/ 506451 h 994084"/>
            <a:gd name="connsiteX30" fmla="*/ 51110 w 1152293"/>
            <a:gd name="connsiteY30" fmla="*/ 464634 h 994084"/>
            <a:gd name="connsiteX31" fmla="*/ 125451 w 1152293"/>
            <a:gd name="connsiteY31" fmla="*/ 511097 h 994084"/>
            <a:gd name="connsiteX32" fmla="*/ 120805 w 1152293"/>
            <a:gd name="connsiteY32" fmla="*/ 422817 h 994084"/>
            <a:gd name="connsiteX33" fmla="*/ 167268 w 1152293"/>
            <a:gd name="connsiteY33" fmla="*/ 404231 h 994084"/>
            <a:gd name="connsiteX34" fmla="*/ 176561 w 1152293"/>
            <a:gd name="connsiteY34" fmla="*/ 455341 h 994084"/>
            <a:gd name="connsiteX35" fmla="*/ 227671 w 1152293"/>
            <a:gd name="connsiteY35" fmla="*/ 390292 h 994084"/>
            <a:gd name="connsiteX36" fmla="*/ 213732 w 1152293"/>
            <a:gd name="connsiteY36" fmla="*/ 283427 h 994084"/>
            <a:gd name="connsiteX37" fmla="*/ 236963 w 1152293"/>
            <a:gd name="connsiteY37" fmla="*/ 88280 h 994084"/>
            <a:gd name="connsiteX38" fmla="*/ 302012 w 1152293"/>
            <a:gd name="connsiteY38" fmla="*/ 41817 h 994084"/>
            <a:gd name="connsiteX39" fmla="*/ 339183 w 1152293"/>
            <a:gd name="connsiteY39" fmla="*/ 69695 h 994084"/>
            <a:gd name="connsiteX40" fmla="*/ 381000 w 1152293"/>
            <a:gd name="connsiteY40" fmla="*/ 0 h 994084"/>
            <a:gd name="connsiteX41" fmla="*/ 464634 w 1152293"/>
            <a:gd name="connsiteY41" fmla="*/ 120805 h 994084"/>
            <a:gd name="connsiteX42" fmla="*/ 455342 w 1152293"/>
            <a:gd name="connsiteY42" fmla="*/ 181207 h 994084"/>
            <a:gd name="connsiteX43" fmla="*/ 534329 w 1152293"/>
            <a:gd name="connsiteY43" fmla="*/ 157975 h 994084"/>
            <a:gd name="connsiteX44" fmla="*/ 562207 w 1152293"/>
            <a:gd name="connsiteY44" fmla="*/ 199792 h 994084"/>
            <a:gd name="connsiteX45" fmla="*/ 562207 w 1152293"/>
            <a:gd name="connsiteY45" fmla="*/ 260195 h 994084"/>
            <a:gd name="connsiteX46" fmla="*/ 636549 w 1152293"/>
            <a:gd name="connsiteY46" fmla="*/ 264841 h 994084"/>
            <a:gd name="connsiteX47" fmla="*/ 692305 w 1152293"/>
            <a:gd name="connsiteY47" fmla="*/ 329890 h 994084"/>
            <a:gd name="connsiteX0" fmla="*/ 692305 w 1152293"/>
            <a:gd name="connsiteY0" fmla="*/ 329890 h 994084"/>
            <a:gd name="connsiteX1" fmla="*/ 792365 w 1152293"/>
            <a:gd name="connsiteY1" fmla="*/ 406380 h 994084"/>
            <a:gd name="connsiteX2" fmla="*/ 892206 w 1152293"/>
            <a:gd name="connsiteY2" fmla="*/ 466784 h 994084"/>
            <a:gd name="connsiteX3" fmla="*/ 910793 w 1152293"/>
            <a:gd name="connsiteY3" fmla="*/ 529567 h 994084"/>
            <a:gd name="connsiteX4" fmla="*/ 980378 w 1152293"/>
            <a:gd name="connsiteY4" fmla="*/ 566853 h 994084"/>
            <a:gd name="connsiteX5" fmla="*/ 989889 w 1152293"/>
            <a:gd name="connsiteY5" fmla="*/ 566853 h 994084"/>
            <a:gd name="connsiteX6" fmla="*/ 1033974 w 1152293"/>
            <a:gd name="connsiteY6" fmla="*/ 641078 h 994084"/>
            <a:gd name="connsiteX7" fmla="*/ 1068659 w 1152293"/>
            <a:gd name="connsiteY7" fmla="*/ 594731 h 994084"/>
            <a:gd name="connsiteX8" fmla="*/ 1152293 w 1152293"/>
            <a:gd name="connsiteY8" fmla="*/ 669073 h 994084"/>
            <a:gd name="connsiteX9" fmla="*/ 1061853 w 1152293"/>
            <a:gd name="connsiteY9" fmla="*/ 831695 h 994084"/>
            <a:gd name="connsiteX10" fmla="*/ 1073305 w 1152293"/>
            <a:gd name="connsiteY10" fmla="*/ 878158 h 994084"/>
            <a:gd name="connsiteX11" fmla="*/ 1040781 w 1152293"/>
            <a:gd name="connsiteY11" fmla="*/ 942859 h 994084"/>
            <a:gd name="connsiteX12" fmla="*/ 961901 w 1152293"/>
            <a:gd name="connsiteY12" fmla="*/ 910567 h 994084"/>
            <a:gd name="connsiteX13" fmla="*/ 831695 w 1152293"/>
            <a:gd name="connsiteY13" fmla="*/ 957146 h 994084"/>
            <a:gd name="connsiteX14" fmla="*/ 785232 w 1152293"/>
            <a:gd name="connsiteY14" fmla="*/ 906036 h 994084"/>
            <a:gd name="connsiteX15" fmla="*/ 743415 w 1152293"/>
            <a:gd name="connsiteY15" fmla="*/ 952500 h 994084"/>
            <a:gd name="connsiteX16" fmla="*/ 718132 w 1152293"/>
            <a:gd name="connsiteY16" fmla="*/ 919627 h 994084"/>
            <a:gd name="connsiteX17" fmla="*/ 650271 w 1152293"/>
            <a:gd name="connsiteY17" fmla="*/ 975848 h 994084"/>
            <a:gd name="connsiteX18" fmla="*/ 622610 w 1152293"/>
            <a:gd name="connsiteY18" fmla="*/ 938561 h 994084"/>
            <a:gd name="connsiteX19" fmla="*/ 561990 w 1152293"/>
            <a:gd name="connsiteY19" fmla="*/ 966322 h 994084"/>
            <a:gd name="connsiteX20" fmla="*/ 504182 w 1152293"/>
            <a:gd name="connsiteY20" fmla="*/ 929500 h 994084"/>
            <a:gd name="connsiteX21" fmla="*/ 471440 w 1152293"/>
            <a:gd name="connsiteY21" fmla="*/ 994084 h 994084"/>
            <a:gd name="connsiteX22" fmla="*/ 394939 w 1152293"/>
            <a:gd name="connsiteY22" fmla="*/ 924622 h 994084"/>
            <a:gd name="connsiteX23" fmla="*/ 353122 w 1152293"/>
            <a:gd name="connsiteY23" fmla="*/ 845634 h 994084"/>
            <a:gd name="connsiteX24" fmla="*/ 315951 w 1152293"/>
            <a:gd name="connsiteY24" fmla="*/ 766646 h 994084"/>
            <a:gd name="connsiteX25" fmla="*/ 278781 w 1152293"/>
            <a:gd name="connsiteY25" fmla="*/ 775939 h 994084"/>
            <a:gd name="connsiteX26" fmla="*/ 218378 w 1152293"/>
            <a:gd name="connsiteY26" fmla="*/ 706244 h 994084"/>
            <a:gd name="connsiteX27" fmla="*/ 106866 w 1152293"/>
            <a:gd name="connsiteY27" fmla="*/ 706244 h 994084"/>
            <a:gd name="connsiteX28" fmla="*/ 13939 w 1152293"/>
            <a:gd name="connsiteY28" fmla="*/ 617963 h 994084"/>
            <a:gd name="connsiteX29" fmla="*/ 0 w 1152293"/>
            <a:gd name="connsiteY29" fmla="*/ 506451 h 994084"/>
            <a:gd name="connsiteX30" fmla="*/ 51110 w 1152293"/>
            <a:gd name="connsiteY30" fmla="*/ 464634 h 994084"/>
            <a:gd name="connsiteX31" fmla="*/ 125451 w 1152293"/>
            <a:gd name="connsiteY31" fmla="*/ 511097 h 994084"/>
            <a:gd name="connsiteX32" fmla="*/ 120805 w 1152293"/>
            <a:gd name="connsiteY32" fmla="*/ 422817 h 994084"/>
            <a:gd name="connsiteX33" fmla="*/ 167268 w 1152293"/>
            <a:gd name="connsiteY33" fmla="*/ 404231 h 994084"/>
            <a:gd name="connsiteX34" fmla="*/ 176561 w 1152293"/>
            <a:gd name="connsiteY34" fmla="*/ 455341 h 994084"/>
            <a:gd name="connsiteX35" fmla="*/ 227671 w 1152293"/>
            <a:gd name="connsiteY35" fmla="*/ 390292 h 994084"/>
            <a:gd name="connsiteX36" fmla="*/ 213732 w 1152293"/>
            <a:gd name="connsiteY36" fmla="*/ 283427 h 994084"/>
            <a:gd name="connsiteX37" fmla="*/ 236963 w 1152293"/>
            <a:gd name="connsiteY37" fmla="*/ 88280 h 994084"/>
            <a:gd name="connsiteX38" fmla="*/ 302012 w 1152293"/>
            <a:gd name="connsiteY38" fmla="*/ 41817 h 994084"/>
            <a:gd name="connsiteX39" fmla="*/ 339183 w 1152293"/>
            <a:gd name="connsiteY39" fmla="*/ 69695 h 994084"/>
            <a:gd name="connsiteX40" fmla="*/ 381000 w 1152293"/>
            <a:gd name="connsiteY40" fmla="*/ 0 h 994084"/>
            <a:gd name="connsiteX41" fmla="*/ 464634 w 1152293"/>
            <a:gd name="connsiteY41" fmla="*/ 120805 h 994084"/>
            <a:gd name="connsiteX42" fmla="*/ 455342 w 1152293"/>
            <a:gd name="connsiteY42" fmla="*/ 181207 h 994084"/>
            <a:gd name="connsiteX43" fmla="*/ 534329 w 1152293"/>
            <a:gd name="connsiteY43" fmla="*/ 157975 h 994084"/>
            <a:gd name="connsiteX44" fmla="*/ 562207 w 1152293"/>
            <a:gd name="connsiteY44" fmla="*/ 199792 h 994084"/>
            <a:gd name="connsiteX45" fmla="*/ 562207 w 1152293"/>
            <a:gd name="connsiteY45" fmla="*/ 260195 h 994084"/>
            <a:gd name="connsiteX46" fmla="*/ 636549 w 1152293"/>
            <a:gd name="connsiteY46" fmla="*/ 264841 h 994084"/>
            <a:gd name="connsiteX47" fmla="*/ 692305 w 1152293"/>
            <a:gd name="connsiteY47" fmla="*/ 329890 h 9940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</a:cxnLst>
          <a:rect l="l" t="t" r="r" b="b"/>
          <a:pathLst>
            <a:path w="1152293" h="994084">
              <a:moveTo>
                <a:pt x="692305" y="329890"/>
              </a:moveTo>
              <a:lnTo>
                <a:pt x="792365" y="406380"/>
              </a:lnTo>
              <a:lnTo>
                <a:pt x="892206" y="466784"/>
              </a:lnTo>
              <a:lnTo>
                <a:pt x="910793" y="529567"/>
              </a:lnTo>
              <a:cubicBezTo>
                <a:pt x="935573" y="540408"/>
                <a:pt x="967195" y="560639"/>
                <a:pt x="980378" y="566853"/>
              </a:cubicBezTo>
              <a:cubicBezTo>
                <a:pt x="993561" y="573067"/>
                <a:pt x="980956" y="554482"/>
                <a:pt x="989889" y="566853"/>
              </a:cubicBezTo>
              <a:cubicBezTo>
                <a:pt x="998822" y="579224"/>
                <a:pt x="1019279" y="616336"/>
                <a:pt x="1033974" y="641078"/>
              </a:cubicBezTo>
              <a:lnTo>
                <a:pt x="1068659" y="594731"/>
              </a:lnTo>
              <a:lnTo>
                <a:pt x="1152293" y="669073"/>
              </a:lnTo>
              <a:lnTo>
                <a:pt x="1061853" y="831695"/>
              </a:lnTo>
              <a:lnTo>
                <a:pt x="1073305" y="878158"/>
              </a:lnTo>
              <a:lnTo>
                <a:pt x="1040781" y="942859"/>
              </a:lnTo>
              <a:lnTo>
                <a:pt x="961901" y="910567"/>
              </a:lnTo>
              <a:lnTo>
                <a:pt x="831695" y="957146"/>
              </a:lnTo>
              <a:lnTo>
                <a:pt x="785232" y="906036"/>
              </a:lnTo>
              <a:lnTo>
                <a:pt x="743415" y="952500"/>
              </a:lnTo>
              <a:lnTo>
                <a:pt x="718132" y="919627"/>
              </a:lnTo>
              <a:lnTo>
                <a:pt x="650271" y="975848"/>
              </a:lnTo>
              <a:lnTo>
                <a:pt x="622610" y="938561"/>
              </a:lnTo>
              <a:lnTo>
                <a:pt x="561990" y="966322"/>
              </a:lnTo>
              <a:lnTo>
                <a:pt x="504182" y="929500"/>
              </a:lnTo>
              <a:lnTo>
                <a:pt x="471440" y="994084"/>
              </a:lnTo>
              <a:lnTo>
                <a:pt x="394939" y="924622"/>
              </a:lnTo>
              <a:lnTo>
                <a:pt x="353122" y="845634"/>
              </a:lnTo>
              <a:lnTo>
                <a:pt x="315951" y="766646"/>
              </a:lnTo>
              <a:lnTo>
                <a:pt x="278781" y="775939"/>
              </a:lnTo>
              <a:lnTo>
                <a:pt x="218378" y="706244"/>
              </a:lnTo>
              <a:lnTo>
                <a:pt x="106866" y="706244"/>
              </a:lnTo>
              <a:lnTo>
                <a:pt x="13939" y="617963"/>
              </a:lnTo>
              <a:lnTo>
                <a:pt x="0" y="506451"/>
              </a:lnTo>
              <a:lnTo>
                <a:pt x="51110" y="464634"/>
              </a:lnTo>
              <a:lnTo>
                <a:pt x="125451" y="511097"/>
              </a:lnTo>
              <a:lnTo>
                <a:pt x="120805" y="422817"/>
              </a:lnTo>
              <a:lnTo>
                <a:pt x="167268" y="404231"/>
              </a:lnTo>
              <a:lnTo>
                <a:pt x="176561" y="455341"/>
              </a:lnTo>
              <a:lnTo>
                <a:pt x="227671" y="390292"/>
              </a:lnTo>
              <a:lnTo>
                <a:pt x="213732" y="283427"/>
              </a:lnTo>
              <a:lnTo>
                <a:pt x="236963" y="88280"/>
              </a:lnTo>
              <a:lnTo>
                <a:pt x="302012" y="41817"/>
              </a:lnTo>
              <a:lnTo>
                <a:pt x="339183" y="69695"/>
              </a:lnTo>
              <a:lnTo>
                <a:pt x="381000" y="0"/>
              </a:lnTo>
              <a:lnTo>
                <a:pt x="464634" y="120805"/>
              </a:lnTo>
              <a:lnTo>
                <a:pt x="455342" y="181207"/>
              </a:lnTo>
              <a:lnTo>
                <a:pt x="534329" y="157975"/>
              </a:lnTo>
              <a:lnTo>
                <a:pt x="562207" y="199792"/>
              </a:lnTo>
              <a:lnTo>
                <a:pt x="562207" y="260195"/>
              </a:lnTo>
              <a:lnTo>
                <a:pt x="636549" y="264841"/>
              </a:lnTo>
              <a:lnTo>
                <a:pt x="692305" y="329890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7</xdr:col>
      <xdr:colOff>207847</xdr:colOff>
      <xdr:row>7</xdr:row>
      <xdr:rowOff>148282</xdr:rowOff>
    </xdr:from>
    <xdr:to>
      <xdr:col>8</xdr:col>
      <xdr:colOff>148009</xdr:colOff>
      <xdr:row>10</xdr:row>
      <xdr:rowOff>165064</xdr:rowOff>
    </xdr:to>
    <xdr:sp macro="" textlink="">
      <xdr:nvSpPr>
        <xdr:cNvPr id="10" name="Virovitičko_podravska_županija"/>
        <xdr:cNvSpPr/>
      </xdr:nvSpPr>
      <xdr:spPr>
        <a:xfrm>
          <a:off x="4951297" y="1738957"/>
          <a:ext cx="749787" cy="588282"/>
        </a:xfrm>
        <a:custGeom>
          <a:avLst/>
          <a:gdLst>
            <a:gd name="connsiteX0" fmla="*/ 215565 w 1097881"/>
            <a:gd name="connsiteY0" fmla="*/ 0 h 867276"/>
            <a:gd name="connsiteX1" fmla="*/ 290763 w 1097881"/>
            <a:gd name="connsiteY1" fmla="*/ 25066 h 867276"/>
            <a:gd name="connsiteX2" fmla="*/ 305802 w 1097881"/>
            <a:gd name="connsiteY2" fmla="*/ 65171 h 867276"/>
            <a:gd name="connsiteX3" fmla="*/ 265697 w 1097881"/>
            <a:gd name="connsiteY3" fmla="*/ 80211 h 867276"/>
            <a:gd name="connsiteX4" fmla="*/ 320842 w 1097881"/>
            <a:gd name="connsiteY4" fmla="*/ 110289 h 867276"/>
            <a:gd name="connsiteX5" fmla="*/ 370973 w 1097881"/>
            <a:gd name="connsiteY5" fmla="*/ 120316 h 867276"/>
            <a:gd name="connsiteX6" fmla="*/ 416092 w 1097881"/>
            <a:gd name="connsiteY6" fmla="*/ 80211 h 867276"/>
            <a:gd name="connsiteX7" fmla="*/ 486276 w 1097881"/>
            <a:gd name="connsiteY7" fmla="*/ 100263 h 867276"/>
            <a:gd name="connsiteX8" fmla="*/ 556460 w 1097881"/>
            <a:gd name="connsiteY8" fmla="*/ 100263 h 867276"/>
            <a:gd name="connsiteX9" fmla="*/ 631657 w 1097881"/>
            <a:gd name="connsiteY9" fmla="*/ 185487 h 867276"/>
            <a:gd name="connsiteX10" fmla="*/ 651710 w 1097881"/>
            <a:gd name="connsiteY10" fmla="*/ 270711 h 867276"/>
            <a:gd name="connsiteX11" fmla="*/ 716881 w 1097881"/>
            <a:gd name="connsiteY11" fmla="*/ 275724 h 867276"/>
            <a:gd name="connsiteX12" fmla="*/ 802105 w 1097881"/>
            <a:gd name="connsiteY12" fmla="*/ 310816 h 867276"/>
            <a:gd name="connsiteX13" fmla="*/ 852236 w 1097881"/>
            <a:gd name="connsiteY13" fmla="*/ 310816 h 867276"/>
            <a:gd name="connsiteX14" fmla="*/ 897355 w 1097881"/>
            <a:gd name="connsiteY14" fmla="*/ 391026 h 867276"/>
            <a:gd name="connsiteX15" fmla="*/ 942473 w 1097881"/>
            <a:gd name="connsiteY15" fmla="*/ 360947 h 867276"/>
            <a:gd name="connsiteX16" fmla="*/ 967539 w 1097881"/>
            <a:gd name="connsiteY16" fmla="*/ 436145 h 867276"/>
            <a:gd name="connsiteX17" fmla="*/ 1037723 w 1097881"/>
            <a:gd name="connsiteY17" fmla="*/ 471237 h 867276"/>
            <a:gd name="connsiteX18" fmla="*/ 1042736 w 1097881"/>
            <a:gd name="connsiteY18" fmla="*/ 551447 h 867276"/>
            <a:gd name="connsiteX19" fmla="*/ 1097881 w 1097881"/>
            <a:gd name="connsiteY19" fmla="*/ 586539 h 867276"/>
            <a:gd name="connsiteX20" fmla="*/ 957513 w 1097881"/>
            <a:gd name="connsiteY20" fmla="*/ 807118 h 867276"/>
            <a:gd name="connsiteX21" fmla="*/ 902368 w 1097881"/>
            <a:gd name="connsiteY21" fmla="*/ 857250 h 867276"/>
            <a:gd name="connsiteX22" fmla="*/ 862263 w 1097881"/>
            <a:gd name="connsiteY22" fmla="*/ 822158 h 867276"/>
            <a:gd name="connsiteX23" fmla="*/ 812131 w 1097881"/>
            <a:gd name="connsiteY23" fmla="*/ 867276 h 867276"/>
            <a:gd name="connsiteX24" fmla="*/ 772026 w 1097881"/>
            <a:gd name="connsiteY24" fmla="*/ 817145 h 867276"/>
            <a:gd name="connsiteX25" fmla="*/ 691815 w 1097881"/>
            <a:gd name="connsiteY25" fmla="*/ 812132 h 867276"/>
            <a:gd name="connsiteX26" fmla="*/ 646697 w 1097881"/>
            <a:gd name="connsiteY26" fmla="*/ 782053 h 867276"/>
            <a:gd name="connsiteX27" fmla="*/ 586539 w 1097881"/>
            <a:gd name="connsiteY27" fmla="*/ 787066 h 867276"/>
            <a:gd name="connsiteX28" fmla="*/ 501315 w 1097881"/>
            <a:gd name="connsiteY28" fmla="*/ 686803 h 867276"/>
            <a:gd name="connsiteX29" fmla="*/ 436144 w 1097881"/>
            <a:gd name="connsiteY29" fmla="*/ 711868 h 867276"/>
            <a:gd name="connsiteX30" fmla="*/ 370973 w 1097881"/>
            <a:gd name="connsiteY30" fmla="*/ 701842 h 867276"/>
            <a:gd name="connsiteX31" fmla="*/ 370973 w 1097881"/>
            <a:gd name="connsiteY31" fmla="*/ 671763 h 867276"/>
            <a:gd name="connsiteX32" fmla="*/ 461210 w 1097881"/>
            <a:gd name="connsiteY32" fmla="*/ 511342 h 867276"/>
            <a:gd name="connsiteX33" fmla="*/ 375986 w 1097881"/>
            <a:gd name="connsiteY33" fmla="*/ 441158 h 867276"/>
            <a:gd name="connsiteX34" fmla="*/ 330868 w 1097881"/>
            <a:gd name="connsiteY34" fmla="*/ 481263 h 867276"/>
            <a:gd name="connsiteX35" fmla="*/ 295776 w 1097881"/>
            <a:gd name="connsiteY35" fmla="*/ 421105 h 867276"/>
            <a:gd name="connsiteX36" fmla="*/ 210552 w 1097881"/>
            <a:gd name="connsiteY36" fmla="*/ 375987 h 867276"/>
            <a:gd name="connsiteX37" fmla="*/ 190500 w 1097881"/>
            <a:gd name="connsiteY37" fmla="*/ 315829 h 867276"/>
            <a:gd name="connsiteX38" fmla="*/ 0 w 1097881"/>
            <a:gd name="connsiteY38" fmla="*/ 185487 h 867276"/>
            <a:gd name="connsiteX39" fmla="*/ 85223 w 1097881"/>
            <a:gd name="connsiteY39" fmla="*/ 35092 h 867276"/>
            <a:gd name="connsiteX40" fmla="*/ 215565 w 1097881"/>
            <a:gd name="connsiteY40" fmla="*/ 0 h 867276"/>
            <a:gd name="connsiteX0" fmla="*/ 231963 w 1114279"/>
            <a:gd name="connsiteY0" fmla="*/ 0 h 867276"/>
            <a:gd name="connsiteX1" fmla="*/ 307161 w 1114279"/>
            <a:gd name="connsiteY1" fmla="*/ 25066 h 867276"/>
            <a:gd name="connsiteX2" fmla="*/ 322200 w 1114279"/>
            <a:gd name="connsiteY2" fmla="*/ 65171 h 867276"/>
            <a:gd name="connsiteX3" fmla="*/ 282095 w 1114279"/>
            <a:gd name="connsiteY3" fmla="*/ 80211 h 867276"/>
            <a:gd name="connsiteX4" fmla="*/ 337240 w 1114279"/>
            <a:gd name="connsiteY4" fmla="*/ 110289 h 867276"/>
            <a:gd name="connsiteX5" fmla="*/ 387371 w 1114279"/>
            <a:gd name="connsiteY5" fmla="*/ 120316 h 867276"/>
            <a:gd name="connsiteX6" fmla="*/ 432490 w 1114279"/>
            <a:gd name="connsiteY6" fmla="*/ 80211 h 867276"/>
            <a:gd name="connsiteX7" fmla="*/ 502674 w 1114279"/>
            <a:gd name="connsiteY7" fmla="*/ 100263 h 867276"/>
            <a:gd name="connsiteX8" fmla="*/ 572858 w 1114279"/>
            <a:gd name="connsiteY8" fmla="*/ 100263 h 867276"/>
            <a:gd name="connsiteX9" fmla="*/ 648055 w 1114279"/>
            <a:gd name="connsiteY9" fmla="*/ 185487 h 867276"/>
            <a:gd name="connsiteX10" fmla="*/ 668108 w 1114279"/>
            <a:gd name="connsiteY10" fmla="*/ 270711 h 867276"/>
            <a:gd name="connsiteX11" fmla="*/ 733279 w 1114279"/>
            <a:gd name="connsiteY11" fmla="*/ 275724 h 867276"/>
            <a:gd name="connsiteX12" fmla="*/ 818503 w 1114279"/>
            <a:gd name="connsiteY12" fmla="*/ 310816 h 867276"/>
            <a:gd name="connsiteX13" fmla="*/ 868634 w 1114279"/>
            <a:gd name="connsiteY13" fmla="*/ 310816 h 867276"/>
            <a:gd name="connsiteX14" fmla="*/ 913753 w 1114279"/>
            <a:gd name="connsiteY14" fmla="*/ 391026 h 867276"/>
            <a:gd name="connsiteX15" fmla="*/ 958871 w 1114279"/>
            <a:gd name="connsiteY15" fmla="*/ 360947 h 867276"/>
            <a:gd name="connsiteX16" fmla="*/ 983937 w 1114279"/>
            <a:gd name="connsiteY16" fmla="*/ 436145 h 867276"/>
            <a:gd name="connsiteX17" fmla="*/ 1054121 w 1114279"/>
            <a:gd name="connsiteY17" fmla="*/ 471237 h 867276"/>
            <a:gd name="connsiteX18" fmla="*/ 1059134 w 1114279"/>
            <a:gd name="connsiteY18" fmla="*/ 551447 h 867276"/>
            <a:gd name="connsiteX19" fmla="*/ 1114279 w 1114279"/>
            <a:gd name="connsiteY19" fmla="*/ 586539 h 867276"/>
            <a:gd name="connsiteX20" fmla="*/ 973911 w 1114279"/>
            <a:gd name="connsiteY20" fmla="*/ 807118 h 867276"/>
            <a:gd name="connsiteX21" fmla="*/ 918766 w 1114279"/>
            <a:gd name="connsiteY21" fmla="*/ 857250 h 867276"/>
            <a:gd name="connsiteX22" fmla="*/ 878661 w 1114279"/>
            <a:gd name="connsiteY22" fmla="*/ 822158 h 867276"/>
            <a:gd name="connsiteX23" fmla="*/ 828529 w 1114279"/>
            <a:gd name="connsiteY23" fmla="*/ 867276 h 867276"/>
            <a:gd name="connsiteX24" fmla="*/ 788424 w 1114279"/>
            <a:gd name="connsiteY24" fmla="*/ 817145 h 867276"/>
            <a:gd name="connsiteX25" fmla="*/ 708213 w 1114279"/>
            <a:gd name="connsiteY25" fmla="*/ 812132 h 867276"/>
            <a:gd name="connsiteX26" fmla="*/ 663095 w 1114279"/>
            <a:gd name="connsiteY26" fmla="*/ 782053 h 867276"/>
            <a:gd name="connsiteX27" fmla="*/ 602937 w 1114279"/>
            <a:gd name="connsiteY27" fmla="*/ 787066 h 867276"/>
            <a:gd name="connsiteX28" fmla="*/ 517713 w 1114279"/>
            <a:gd name="connsiteY28" fmla="*/ 686803 h 867276"/>
            <a:gd name="connsiteX29" fmla="*/ 452542 w 1114279"/>
            <a:gd name="connsiteY29" fmla="*/ 711868 h 867276"/>
            <a:gd name="connsiteX30" fmla="*/ 387371 w 1114279"/>
            <a:gd name="connsiteY30" fmla="*/ 701842 h 867276"/>
            <a:gd name="connsiteX31" fmla="*/ 387371 w 1114279"/>
            <a:gd name="connsiteY31" fmla="*/ 671763 h 867276"/>
            <a:gd name="connsiteX32" fmla="*/ 477608 w 1114279"/>
            <a:gd name="connsiteY32" fmla="*/ 511342 h 867276"/>
            <a:gd name="connsiteX33" fmla="*/ 392384 w 1114279"/>
            <a:gd name="connsiteY33" fmla="*/ 441158 h 867276"/>
            <a:gd name="connsiteX34" fmla="*/ 347266 w 1114279"/>
            <a:gd name="connsiteY34" fmla="*/ 481263 h 867276"/>
            <a:gd name="connsiteX35" fmla="*/ 312174 w 1114279"/>
            <a:gd name="connsiteY35" fmla="*/ 421105 h 867276"/>
            <a:gd name="connsiteX36" fmla="*/ 226950 w 1114279"/>
            <a:gd name="connsiteY36" fmla="*/ 375987 h 867276"/>
            <a:gd name="connsiteX37" fmla="*/ 206898 w 1114279"/>
            <a:gd name="connsiteY37" fmla="*/ 315829 h 867276"/>
            <a:gd name="connsiteX38" fmla="*/ 0 w 1114279"/>
            <a:gd name="connsiteY38" fmla="*/ 180044 h 867276"/>
            <a:gd name="connsiteX39" fmla="*/ 101621 w 1114279"/>
            <a:gd name="connsiteY39" fmla="*/ 35092 h 867276"/>
            <a:gd name="connsiteX40" fmla="*/ 231963 w 1114279"/>
            <a:gd name="connsiteY40" fmla="*/ 0 h 867276"/>
            <a:gd name="connsiteX0" fmla="*/ 231963 w 1114279"/>
            <a:gd name="connsiteY0" fmla="*/ 0 h 867276"/>
            <a:gd name="connsiteX1" fmla="*/ 307161 w 1114279"/>
            <a:gd name="connsiteY1" fmla="*/ 25066 h 867276"/>
            <a:gd name="connsiteX2" fmla="*/ 322200 w 1114279"/>
            <a:gd name="connsiteY2" fmla="*/ 65171 h 867276"/>
            <a:gd name="connsiteX3" fmla="*/ 282095 w 1114279"/>
            <a:gd name="connsiteY3" fmla="*/ 80211 h 867276"/>
            <a:gd name="connsiteX4" fmla="*/ 337240 w 1114279"/>
            <a:gd name="connsiteY4" fmla="*/ 110289 h 867276"/>
            <a:gd name="connsiteX5" fmla="*/ 387371 w 1114279"/>
            <a:gd name="connsiteY5" fmla="*/ 120316 h 867276"/>
            <a:gd name="connsiteX6" fmla="*/ 432490 w 1114279"/>
            <a:gd name="connsiteY6" fmla="*/ 80211 h 867276"/>
            <a:gd name="connsiteX7" fmla="*/ 502674 w 1114279"/>
            <a:gd name="connsiteY7" fmla="*/ 100263 h 867276"/>
            <a:gd name="connsiteX8" fmla="*/ 572858 w 1114279"/>
            <a:gd name="connsiteY8" fmla="*/ 100263 h 867276"/>
            <a:gd name="connsiteX9" fmla="*/ 648055 w 1114279"/>
            <a:gd name="connsiteY9" fmla="*/ 185487 h 867276"/>
            <a:gd name="connsiteX10" fmla="*/ 668108 w 1114279"/>
            <a:gd name="connsiteY10" fmla="*/ 270711 h 867276"/>
            <a:gd name="connsiteX11" fmla="*/ 733279 w 1114279"/>
            <a:gd name="connsiteY11" fmla="*/ 275724 h 867276"/>
            <a:gd name="connsiteX12" fmla="*/ 818503 w 1114279"/>
            <a:gd name="connsiteY12" fmla="*/ 310816 h 867276"/>
            <a:gd name="connsiteX13" fmla="*/ 868634 w 1114279"/>
            <a:gd name="connsiteY13" fmla="*/ 310816 h 867276"/>
            <a:gd name="connsiteX14" fmla="*/ 913753 w 1114279"/>
            <a:gd name="connsiteY14" fmla="*/ 391026 h 867276"/>
            <a:gd name="connsiteX15" fmla="*/ 958871 w 1114279"/>
            <a:gd name="connsiteY15" fmla="*/ 360947 h 867276"/>
            <a:gd name="connsiteX16" fmla="*/ 983937 w 1114279"/>
            <a:gd name="connsiteY16" fmla="*/ 436145 h 867276"/>
            <a:gd name="connsiteX17" fmla="*/ 1054121 w 1114279"/>
            <a:gd name="connsiteY17" fmla="*/ 471237 h 867276"/>
            <a:gd name="connsiteX18" fmla="*/ 1059134 w 1114279"/>
            <a:gd name="connsiteY18" fmla="*/ 551447 h 867276"/>
            <a:gd name="connsiteX19" fmla="*/ 1114279 w 1114279"/>
            <a:gd name="connsiteY19" fmla="*/ 586539 h 867276"/>
            <a:gd name="connsiteX20" fmla="*/ 973911 w 1114279"/>
            <a:gd name="connsiteY20" fmla="*/ 807118 h 867276"/>
            <a:gd name="connsiteX21" fmla="*/ 918766 w 1114279"/>
            <a:gd name="connsiteY21" fmla="*/ 857250 h 867276"/>
            <a:gd name="connsiteX22" fmla="*/ 878661 w 1114279"/>
            <a:gd name="connsiteY22" fmla="*/ 822158 h 867276"/>
            <a:gd name="connsiteX23" fmla="*/ 828529 w 1114279"/>
            <a:gd name="connsiteY23" fmla="*/ 867276 h 867276"/>
            <a:gd name="connsiteX24" fmla="*/ 788424 w 1114279"/>
            <a:gd name="connsiteY24" fmla="*/ 817145 h 867276"/>
            <a:gd name="connsiteX25" fmla="*/ 708213 w 1114279"/>
            <a:gd name="connsiteY25" fmla="*/ 812132 h 867276"/>
            <a:gd name="connsiteX26" fmla="*/ 663095 w 1114279"/>
            <a:gd name="connsiteY26" fmla="*/ 782053 h 867276"/>
            <a:gd name="connsiteX27" fmla="*/ 602937 w 1114279"/>
            <a:gd name="connsiteY27" fmla="*/ 787066 h 867276"/>
            <a:gd name="connsiteX28" fmla="*/ 517713 w 1114279"/>
            <a:gd name="connsiteY28" fmla="*/ 686803 h 867276"/>
            <a:gd name="connsiteX29" fmla="*/ 452542 w 1114279"/>
            <a:gd name="connsiteY29" fmla="*/ 711868 h 867276"/>
            <a:gd name="connsiteX30" fmla="*/ 387371 w 1114279"/>
            <a:gd name="connsiteY30" fmla="*/ 701842 h 867276"/>
            <a:gd name="connsiteX31" fmla="*/ 387371 w 1114279"/>
            <a:gd name="connsiteY31" fmla="*/ 671763 h 867276"/>
            <a:gd name="connsiteX32" fmla="*/ 477608 w 1114279"/>
            <a:gd name="connsiteY32" fmla="*/ 511342 h 867276"/>
            <a:gd name="connsiteX33" fmla="*/ 392384 w 1114279"/>
            <a:gd name="connsiteY33" fmla="*/ 441158 h 867276"/>
            <a:gd name="connsiteX34" fmla="*/ 347266 w 1114279"/>
            <a:gd name="connsiteY34" fmla="*/ 481263 h 867276"/>
            <a:gd name="connsiteX35" fmla="*/ 312174 w 1114279"/>
            <a:gd name="connsiteY35" fmla="*/ 421105 h 867276"/>
            <a:gd name="connsiteX36" fmla="*/ 226950 w 1114279"/>
            <a:gd name="connsiteY36" fmla="*/ 375987 h 867276"/>
            <a:gd name="connsiteX37" fmla="*/ 206898 w 1114279"/>
            <a:gd name="connsiteY37" fmla="*/ 315829 h 867276"/>
            <a:gd name="connsiteX38" fmla="*/ 98896 w 1114279"/>
            <a:gd name="connsiteY38" fmla="*/ 244929 h 867276"/>
            <a:gd name="connsiteX39" fmla="*/ 0 w 1114279"/>
            <a:gd name="connsiteY39" fmla="*/ 180044 h 867276"/>
            <a:gd name="connsiteX40" fmla="*/ 101621 w 1114279"/>
            <a:gd name="connsiteY40" fmla="*/ 35092 h 867276"/>
            <a:gd name="connsiteX41" fmla="*/ 231963 w 1114279"/>
            <a:gd name="connsiteY41" fmla="*/ 0 h 867276"/>
            <a:gd name="connsiteX0" fmla="*/ 224789 w 1107105"/>
            <a:gd name="connsiteY0" fmla="*/ 0 h 867276"/>
            <a:gd name="connsiteX1" fmla="*/ 299987 w 1107105"/>
            <a:gd name="connsiteY1" fmla="*/ 25066 h 867276"/>
            <a:gd name="connsiteX2" fmla="*/ 315026 w 1107105"/>
            <a:gd name="connsiteY2" fmla="*/ 65171 h 867276"/>
            <a:gd name="connsiteX3" fmla="*/ 274921 w 1107105"/>
            <a:gd name="connsiteY3" fmla="*/ 80211 h 867276"/>
            <a:gd name="connsiteX4" fmla="*/ 330066 w 1107105"/>
            <a:gd name="connsiteY4" fmla="*/ 110289 h 867276"/>
            <a:gd name="connsiteX5" fmla="*/ 380197 w 1107105"/>
            <a:gd name="connsiteY5" fmla="*/ 120316 h 867276"/>
            <a:gd name="connsiteX6" fmla="*/ 425316 w 1107105"/>
            <a:gd name="connsiteY6" fmla="*/ 80211 h 867276"/>
            <a:gd name="connsiteX7" fmla="*/ 495500 w 1107105"/>
            <a:gd name="connsiteY7" fmla="*/ 100263 h 867276"/>
            <a:gd name="connsiteX8" fmla="*/ 565684 w 1107105"/>
            <a:gd name="connsiteY8" fmla="*/ 100263 h 867276"/>
            <a:gd name="connsiteX9" fmla="*/ 640881 w 1107105"/>
            <a:gd name="connsiteY9" fmla="*/ 185487 h 867276"/>
            <a:gd name="connsiteX10" fmla="*/ 660934 w 1107105"/>
            <a:gd name="connsiteY10" fmla="*/ 270711 h 867276"/>
            <a:gd name="connsiteX11" fmla="*/ 726105 w 1107105"/>
            <a:gd name="connsiteY11" fmla="*/ 275724 h 867276"/>
            <a:gd name="connsiteX12" fmla="*/ 811329 w 1107105"/>
            <a:gd name="connsiteY12" fmla="*/ 310816 h 867276"/>
            <a:gd name="connsiteX13" fmla="*/ 861460 w 1107105"/>
            <a:gd name="connsiteY13" fmla="*/ 310816 h 867276"/>
            <a:gd name="connsiteX14" fmla="*/ 906579 w 1107105"/>
            <a:gd name="connsiteY14" fmla="*/ 391026 h 867276"/>
            <a:gd name="connsiteX15" fmla="*/ 951697 w 1107105"/>
            <a:gd name="connsiteY15" fmla="*/ 360947 h 867276"/>
            <a:gd name="connsiteX16" fmla="*/ 976763 w 1107105"/>
            <a:gd name="connsiteY16" fmla="*/ 436145 h 867276"/>
            <a:gd name="connsiteX17" fmla="*/ 1046947 w 1107105"/>
            <a:gd name="connsiteY17" fmla="*/ 471237 h 867276"/>
            <a:gd name="connsiteX18" fmla="*/ 1051960 w 1107105"/>
            <a:gd name="connsiteY18" fmla="*/ 551447 h 867276"/>
            <a:gd name="connsiteX19" fmla="*/ 1107105 w 1107105"/>
            <a:gd name="connsiteY19" fmla="*/ 586539 h 867276"/>
            <a:gd name="connsiteX20" fmla="*/ 966737 w 1107105"/>
            <a:gd name="connsiteY20" fmla="*/ 807118 h 867276"/>
            <a:gd name="connsiteX21" fmla="*/ 911592 w 1107105"/>
            <a:gd name="connsiteY21" fmla="*/ 857250 h 867276"/>
            <a:gd name="connsiteX22" fmla="*/ 871487 w 1107105"/>
            <a:gd name="connsiteY22" fmla="*/ 822158 h 867276"/>
            <a:gd name="connsiteX23" fmla="*/ 821355 w 1107105"/>
            <a:gd name="connsiteY23" fmla="*/ 867276 h 867276"/>
            <a:gd name="connsiteX24" fmla="*/ 781250 w 1107105"/>
            <a:gd name="connsiteY24" fmla="*/ 817145 h 867276"/>
            <a:gd name="connsiteX25" fmla="*/ 701039 w 1107105"/>
            <a:gd name="connsiteY25" fmla="*/ 812132 h 867276"/>
            <a:gd name="connsiteX26" fmla="*/ 655921 w 1107105"/>
            <a:gd name="connsiteY26" fmla="*/ 782053 h 867276"/>
            <a:gd name="connsiteX27" fmla="*/ 595763 w 1107105"/>
            <a:gd name="connsiteY27" fmla="*/ 787066 h 867276"/>
            <a:gd name="connsiteX28" fmla="*/ 510539 w 1107105"/>
            <a:gd name="connsiteY28" fmla="*/ 686803 h 867276"/>
            <a:gd name="connsiteX29" fmla="*/ 445368 w 1107105"/>
            <a:gd name="connsiteY29" fmla="*/ 711868 h 867276"/>
            <a:gd name="connsiteX30" fmla="*/ 380197 w 1107105"/>
            <a:gd name="connsiteY30" fmla="*/ 701842 h 867276"/>
            <a:gd name="connsiteX31" fmla="*/ 380197 w 1107105"/>
            <a:gd name="connsiteY31" fmla="*/ 671763 h 867276"/>
            <a:gd name="connsiteX32" fmla="*/ 470434 w 1107105"/>
            <a:gd name="connsiteY32" fmla="*/ 511342 h 867276"/>
            <a:gd name="connsiteX33" fmla="*/ 385210 w 1107105"/>
            <a:gd name="connsiteY33" fmla="*/ 441158 h 867276"/>
            <a:gd name="connsiteX34" fmla="*/ 340092 w 1107105"/>
            <a:gd name="connsiteY34" fmla="*/ 481263 h 867276"/>
            <a:gd name="connsiteX35" fmla="*/ 305000 w 1107105"/>
            <a:gd name="connsiteY35" fmla="*/ 421105 h 867276"/>
            <a:gd name="connsiteX36" fmla="*/ 219776 w 1107105"/>
            <a:gd name="connsiteY36" fmla="*/ 375987 h 867276"/>
            <a:gd name="connsiteX37" fmla="*/ 199724 w 1107105"/>
            <a:gd name="connsiteY37" fmla="*/ 315829 h 867276"/>
            <a:gd name="connsiteX38" fmla="*/ 91722 w 1107105"/>
            <a:gd name="connsiteY38" fmla="*/ 244929 h 867276"/>
            <a:gd name="connsiteX39" fmla="*/ 0 w 1107105"/>
            <a:gd name="connsiteY39" fmla="*/ 172901 h 867276"/>
            <a:gd name="connsiteX40" fmla="*/ 94447 w 1107105"/>
            <a:gd name="connsiteY40" fmla="*/ 35092 h 867276"/>
            <a:gd name="connsiteX41" fmla="*/ 224789 w 1107105"/>
            <a:gd name="connsiteY41" fmla="*/ 0 h 8672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1107105" h="867276">
              <a:moveTo>
                <a:pt x="224789" y="0"/>
              </a:moveTo>
              <a:lnTo>
                <a:pt x="299987" y="25066"/>
              </a:lnTo>
              <a:lnTo>
                <a:pt x="315026" y="65171"/>
              </a:lnTo>
              <a:lnTo>
                <a:pt x="274921" y="80211"/>
              </a:lnTo>
              <a:lnTo>
                <a:pt x="330066" y="110289"/>
              </a:lnTo>
              <a:lnTo>
                <a:pt x="380197" y="120316"/>
              </a:lnTo>
              <a:lnTo>
                <a:pt x="425316" y="80211"/>
              </a:lnTo>
              <a:lnTo>
                <a:pt x="495500" y="100263"/>
              </a:lnTo>
              <a:lnTo>
                <a:pt x="565684" y="100263"/>
              </a:lnTo>
              <a:lnTo>
                <a:pt x="640881" y="185487"/>
              </a:lnTo>
              <a:lnTo>
                <a:pt x="660934" y="270711"/>
              </a:lnTo>
              <a:lnTo>
                <a:pt x="726105" y="275724"/>
              </a:lnTo>
              <a:lnTo>
                <a:pt x="811329" y="310816"/>
              </a:lnTo>
              <a:lnTo>
                <a:pt x="861460" y="310816"/>
              </a:lnTo>
              <a:lnTo>
                <a:pt x="906579" y="391026"/>
              </a:lnTo>
              <a:lnTo>
                <a:pt x="951697" y="360947"/>
              </a:lnTo>
              <a:lnTo>
                <a:pt x="976763" y="436145"/>
              </a:lnTo>
              <a:lnTo>
                <a:pt x="1046947" y="471237"/>
              </a:lnTo>
              <a:lnTo>
                <a:pt x="1051960" y="551447"/>
              </a:lnTo>
              <a:lnTo>
                <a:pt x="1107105" y="586539"/>
              </a:lnTo>
              <a:lnTo>
                <a:pt x="966737" y="807118"/>
              </a:lnTo>
              <a:lnTo>
                <a:pt x="911592" y="857250"/>
              </a:lnTo>
              <a:lnTo>
                <a:pt x="871487" y="822158"/>
              </a:lnTo>
              <a:lnTo>
                <a:pt x="821355" y="867276"/>
              </a:lnTo>
              <a:lnTo>
                <a:pt x="781250" y="817145"/>
              </a:lnTo>
              <a:lnTo>
                <a:pt x="701039" y="812132"/>
              </a:lnTo>
              <a:lnTo>
                <a:pt x="655921" y="782053"/>
              </a:lnTo>
              <a:lnTo>
                <a:pt x="595763" y="787066"/>
              </a:lnTo>
              <a:lnTo>
                <a:pt x="510539" y="686803"/>
              </a:lnTo>
              <a:lnTo>
                <a:pt x="445368" y="711868"/>
              </a:lnTo>
              <a:lnTo>
                <a:pt x="380197" y="701842"/>
              </a:lnTo>
              <a:lnTo>
                <a:pt x="380197" y="671763"/>
              </a:lnTo>
              <a:lnTo>
                <a:pt x="470434" y="511342"/>
              </a:lnTo>
              <a:lnTo>
                <a:pt x="385210" y="441158"/>
              </a:lnTo>
              <a:lnTo>
                <a:pt x="340092" y="481263"/>
              </a:lnTo>
              <a:lnTo>
                <a:pt x="305000" y="421105"/>
              </a:lnTo>
              <a:lnTo>
                <a:pt x="219776" y="375987"/>
              </a:lnTo>
              <a:lnTo>
                <a:pt x="199724" y="315829"/>
              </a:lnTo>
              <a:lnTo>
                <a:pt x="91722" y="244929"/>
              </a:lnTo>
              <a:lnTo>
                <a:pt x="0" y="172901"/>
              </a:lnTo>
              <a:lnTo>
                <a:pt x="94447" y="35092"/>
              </a:lnTo>
              <a:lnTo>
                <a:pt x="224789" y="0"/>
              </a:lnTo>
              <a:close/>
            </a:path>
          </a:pathLst>
        </a:custGeom>
        <a:solidFill>
          <a:srgbClr val="D9E1F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5</xdr:col>
      <xdr:colOff>13974</xdr:colOff>
      <xdr:row>9</xdr:row>
      <xdr:rowOff>140168</xdr:rowOff>
    </xdr:from>
    <xdr:to>
      <xdr:col>7</xdr:col>
      <xdr:colOff>271325</xdr:colOff>
      <xdr:row>13</xdr:row>
      <xdr:rowOff>135016</xdr:rowOff>
    </xdr:to>
    <xdr:sp macro="" textlink="">
      <xdr:nvSpPr>
        <xdr:cNvPr id="11" name="Sisačko_moslavačka_županija"/>
        <xdr:cNvSpPr/>
      </xdr:nvSpPr>
      <xdr:spPr>
        <a:xfrm>
          <a:off x="3890649" y="2111843"/>
          <a:ext cx="1124126" cy="756848"/>
        </a:xfrm>
        <a:custGeom>
          <a:avLst/>
          <a:gdLst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16528 w 1649186"/>
            <a:gd name="connsiteY10" fmla="*/ 522514 h 1115785"/>
            <a:gd name="connsiteX11" fmla="*/ 1649186 w 1649186"/>
            <a:gd name="connsiteY11" fmla="*/ 533400 h 1115785"/>
            <a:gd name="connsiteX12" fmla="*/ 1649186 w 1649186"/>
            <a:gd name="connsiteY12" fmla="*/ 609600 h 1115785"/>
            <a:gd name="connsiteX13" fmla="*/ 1529443 w 1649186"/>
            <a:gd name="connsiteY13" fmla="*/ 713014 h 1115785"/>
            <a:gd name="connsiteX14" fmla="*/ 1589314 w 1649186"/>
            <a:gd name="connsiteY14" fmla="*/ 821871 h 1115785"/>
            <a:gd name="connsiteX15" fmla="*/ 1496786 w 1649186"/>
            <a:gd name="connsiteY15" fmla="*/ 772885 h 1115785"/>
            <a:gd name="connsiteX16" fmla="*/ 1464128 w 1649186"/>
            <a:gd name="connsiteY16" fmla="*/ 718457 h 1115785"/>
            <a:gd name="connsiteX17" fmla="*/ 1366157 w 1649186"/>
            <a:gd name="connsiteY17" fmla="*/ 718457 h 1115785"/>
            <a:gd name="connsiteX18" fmla="*/ 1371600 w 1649186"/>
            <a:gd name="connsiteY18" fmla="*/ 685800 h 1115785"/>
            <a:gd name="connsiteX19" fmla="*/ 1349828 w 1649186"/>
            <a:gd name="connsiteY19" fmla="*/ 647700 h 1115785"/>
            <a:gd name="connsiteX20" fmla="*/ 1251857 w 1649186"/>
            <a:gd name="connsiteY20" fmla="*/ 745671 h 1115785"/>
            <a:gd name="connsiteX21" fmla="*/ 1208314 w 1649186"/>
            <a:gd name="connsiteY21" fmla="*/ 800100 h 1115785"/>
            <a:gd name="connsiteX22" fmla="*/ 1110343 w 1649186"/>
            <a:gd name="connsiteY22" fmla="*/ 772885 h 1115785"/>
            <a:gd name="connsiteX23" fmla="*/ 1055914 w 1649186"/>
            <a:gd name="connsiteY23" fmla="*/ 805542 h 1115785"/>
            <a:gd name="connsiteX24" fmla="*/ 957943 w 1649186"/>
            <a:gd name="connsiteY24" fmla="*/ 729342 h 1115785"/>
            <a:gd name="connsiteX25" fmla="*/ 892628 w 1649186"/>
            <a:gd name="connsiteY25" fmla="*/ 751114 h 1115785"/>
            <a:gd name="connsiteX26" fmla="*/ 870857 w 1649186"/>
            <a:gd name="connsiteY26" fmla="*/ 734785 h 1115785"/>
            <a:gd name="connsiteX27" fmla="*/ 783771 w 1649186"/>
            <a:gd name="connsiteY27" fmla="*/ 870857 h 1115785"/>
            <a:gd name="connsiteX28" fmla="*/ 723900 w 1649186"/>
            <a:gd name="connsiteY28" fmla="*/ 908957 h 1115785"/>
            <a:gd name="connsiteX29" fmla="*/ 696686 w 1649186"/>
            <a:gd name="connsiteY29" fmla="*/ 1012371 h 1115785"/>
            <a:gd name="connsiteX30" fmla="*/ 669471 w 1649186"/>
            <a:gd name="connsiteY30" fmla="*/ 1034142 h 1115785"/>
            <a:gd name="connsiteX31" fmla="*/ 669471 w 1649186"/>
            <a:gd name="connsiteY31" fmla="*/ 1099457 h 1115785"/>
            <a:gd name="connsiteX32" fmla="*/ 598714 w 1649186"/>
            <a:gd name="connsiteY32" fmla="*/ 1115785 h 1115785"/>
            <a:gd name="connsiteX33" fmla="*/ 555171 w 1649186"/>
            <a:gd name="connsiteY33" fmla="*/ 1072242 h 1115785"/>
            <a:gd name="connsiteX34" fmla="*/ 506186 w 1649186"/>
            <a:gd name="connsiteY34" fmla="*/ 1066800 h 1115785"/>
            <a:gd name="connsiteX35" fmla="*/ 462643 w 1649186"/>
            <a:gd name="connsiteY35" fmla="*/ 1023257 h 1115785"/>
            <a:gd name="connsiteX36" fmla="*/ 408214 w 1649186"/>
            <a:gd name="connsiteY36" fmla="*/ 947057 h 1115785"/>
            <a:gd name="connsiteX37" fmla="*/ 375557 w 1649186"/>
            <a:gd name="connsiteY37" fmla="*/ 947057 h 1115785"/>
            <a:gd name="connsiteX38" fmla="*/ 342900 w 1649186"/>
            <a:gd name="connsiteY38" fmla="*/ 870857 h 1115785"/>
            <a:gd name="connsiteX39" fmla="*/ 283028 w 1649186"/>
            <a:gd name="connsiteY39" fmla="*/ 805542 h 1115785"/>
            <a:gd name="connsiteX40" fmla="*/ 272143 w 1649186"/>
            <a:gd name="connsiteY40" fmla="*/ 740228 h 1115785"/>
            <a:gd name="connsiteX41" fmla="*/ 228600 w 1649186"/>
            <a:gd name="connsiteY41" fmla="*/ 723900 h 1115785"/>
            <a:gd name="connsiteX42" fmla="*/ 179614 w 1649186"/>
            <a:gd name="connsiteY42" fmla="*/ 756557 h 1115785"/>
            <a:gd name="connsiteX43" fmla="*/ 152400 w 1649186"/>
            <a:gd name="connsiteY43" fmla="*/ 723900 h 1115785"/>
            <a:gd name="connsiteX44" fmla="*/ 70757 w 1649186"/>
            <a:gd name="connsiteY44" fmla="*/ 729342 h 1115785"/>
            <a:gd name="connsiteX45" fmla="*/ 21771 w 1649186"/>
            <a:gd name="connsiteY45" fmla="*/ 669471 h 1115785"/>
            <a:gd name="connsiteX46" fmla="*/ 48986 w 1649186"/>
            <a:gd name="connsiteY46" fmla="*/ 587828 h 1115785"/>
            <a:gd name="connsiteX47" fmla="*/ 0 w 1649186"/>
            <a:gd name="connsiteY47" fmla="*/ 527957 h 1115785"/>
            <a:gd name="connsiteX48" fmla="*/ 21771 w 1649186"/>
            <a:gd name="connsiteY48" fmla="*/ 489857 h 1115785"/>
            <a:gd name="connsiteX49" fmla="*/ 54428 w 1649186"/>
            <a:gd name="connsiteY49" fmla="*/ 511628 h 1115785"/>
            <a:gd name="connsiteX50" fmla="*/ 87086 w 1649186"/>
            <a:gd name="connsiteY50" fmla="*/ 391885 h 1115785"/>
            <a:gd name="connsiteX51" fmla="*/ 65314 w 1649186"/>
            <a:gd name="connsiteY51" fmla="*/ 353785 h 1115785"/>
            <a:gd name="connsiteX52" fmla="*/ 87086 w 1649186"/>
            <a:gd name="connsiteY52" fmla="*/ 293914 h 1115785"/>
            <a:gd name="connsiteX53" fmla="*/ 174171 w 1649186"/>
            <a:gd name="connsiteY53" fmla="*/ 321128 h 1115785"/>
            <a:gd name="connsiteX54" fmla="*/ 234043 w 1649186"/>
            <a:gd name="connsiteY54" fmla="*/ 342900 h 1115785"/>
            <a:gd name="connsiteX55" fmla="*/ 304800 w 1649186"/>
            <a:gd name="connsiteY55" fmla="*/ 288471 h 1115785"/>
            <a:gd name="connsiteX56" fmla="*/ 337457 w 1649186"/>
            <a:gd name="connsiteY56" fmla="*/ 321128 h 1115785"/>
            <a:gd name="connsiteX57" fmla="*/ 364671 w 1649186"/>
            <a:gd name="connsiteY57" fmla="*/ 250371 h 1115785"/>
            <a:gd name="connsiteX58" fmla="*/ 386443 w 1649186"/>
            <a:gd name="connsiteY58" fmla="*/ 239485 h 1115785"/>
            <a:gd name="connsiteX59" fmla="*/ 342900 w 1649186"/>
            <a:gd name="connsiteY59" fmla="*/ 179614 h 1115785"/>
            <a:gd name="connsiteX60" fmla="*/ 451757 w 1649186"/>
            <a:gd name="connsiteY60" fmla="*/ 38100 h 1115785"/>
            <a:gd name="connsiteX61" fmla="*/ 571500 w 1649186"/>
            <a:gd name="connsiteY61" fmla="*/ 103414 h 1115785"/>
            <a:gd name="connsiteX62" fmla="*/ 653143 w 1649186"/>
            <a:gd name="connsiteY62" fmla="*/ 27214 h 1115785"/>
            <a:gd name="connsiteX63" fmla="*/ 756557 w 1649186"/>
            <a:gd name="connsiteY63" fmla="*/ 76200 h 1115785"/>
            <a:gd name="connsiteX64" fmla="*/ 762000 w 1649186"/>
            <a:gd name="connsiteY64" fmla="*/ 125185 h 1115785"/>
            <a:gd name="connsiteX65" fmla="*/ 821871 w 1649186"/>
            <a:gd name="connsiteY65" fmla="*/ 130628 h 1115785"/>
            <a:gd name="connsiteX66" fmla="*/ 914400 w 1649186"/>
            <a:gd name="connsiteY66" fmla="*/ 59871 h 1115785"/>
            <a:gd name="connsiteX67" fmla="*/ 957943 w 1649186"/>
            <a:gd name="connsiteY67" fmla="*/ 59871 h 1115785"/>
            <a:gd name="connsiteX68" fmla="*/ 963386 w 1649186"/>
            <a:gd name="connsiteY68" fmla="*/ 5442 h 1115785"/>
            <a:gd name="connsiteX69" fmla="*/ 1094014 w 1649186"/>
            <a:gd name="connsiteY69" fmla="*/ 0 h 1115785"/>
            <a:gd name="connsiteX70" fmla="*/ 1148443 w 1649186"/>
            <a:gd name="connsiteY70" fmla="*/ 70757 h 1115785"/>
            <a:gd name="connsiteX71" fmla="*/ 1181100 w 1649186"/>
            <a:gd name="connsiteY71" fmla="*/ 65314 h 1115785"/>
            <a:gd name="connsiteX72" fmla="*/ 1257300 w 1649186"/>
            <a:gd name="connsiteY72" fmla="*/ 234042 h 1115785"/>
            <a:gd name="connsiteX73" fmla="*/ 1338943 w 1649186"/>
            <a:gd name="connsiteY73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16528 w 1649186"/>
            <a:gd name="connsiteY10" fmla="*/ 522514 h 1115785"/>
            <a:gd name="connsiteX11" fmla="*/ 1649186 w 1649186"/>
            <a:gd name="connsiteY11" fmla="*/ 533400 h 1115785"/>
            <a:gd name="connsiteX12" fmla="*/ 1649186 w 1649186"/>
            <a:gd name="connsiteY12" fmla="*/ 609600 h 1115785"/>
            <a:gd name="connsiteX13" fmla="*/ 1529443 w 1649186"/>
            <a:gd name="connsiteY13" fmla="*/ 713014 h 1115785"/>
            <a:gd name="connsiteX14" fmla="*/ 1589314 w 1649186"/>
            <a:gd name="connsiteY14" fmla="*/ 821871 h 1115785"/>
            <a:gd name="connsiteX15" fmla="*/ 1496786 w 1649186"/>
            <a:gd name="connsiteY15" fmla="*/ 772885 h 1115785"/>
            <a:gd name="connsiteX16" fmla="*/ 1464128 w 1649186"/>
            <a:gd name="connsiteY16" fmla="*/ 718457 h 1115785"/>
            <a:gd name="connsiteX17" fmla="*/ 1366157 w 1649186"/>
            <a:gd name="connsiteY17" fmla="*/ 718457 h 1115785"/>
            <a:gd name="connsiteX18" fmla="*/ 1371600 w 1649186"/>
            <a:gd name="connsiteY18" fmla="*/ 685800 h 1115785"/>
            <a:gd name="connsiteX19" fmla="*/ 1349828 w 1649186"/>
            <a:gd name="connsiteY19" fmla="*/ 647700 h 1115785"/>
            <a:gd name="connsiteX20" fmla="*/ 1251857 w 1649186"/>
            <a:gd name="connsiteY20" fmla="*/ 745671 h 1115785"/>
            <a:gd name="connsiteX21" fmla="*/ 1208314 w 1649186"/>
            <a:gd name="connsiteY21" fmla="*/ 800100 h 1115785"/>
            <a:gd name="connsiteX22" fmla="*/ 1110343 w 1649186"/>
            <a:gd name="connsiteY22" fmla="*/ 772885 h 1115785"/>
            <a:gd name="connsiteX23" fmla="*/ 1055914 w 1649186"/>
            <a:gd name="connsiteY23" fmla="*/ 805542 h 1115785"/>
            <a:gd name="connsiteX24" fmla="*/ 957943 w 1649186"/>
            <a:gd name="connsiteY24" fmla="*/ 729342 h 1115785"/>
            <a:gd name="connsiteX25" fmla="*/ 892628 w 1649186"/>
            <a:gd name="connsiteY25" fmla="*/ 751114 h 1115785"/>
            <a:gd name="connsiteX26" fmla="*/ 870857 w 1649186"/>
            <a:gd name="connsiteY26" fmla="*/ 734785 h 1115785"/>
            <a:gd name="connsiteX27" fmla="*/ 783771 w 1649186"/>
            <a:gd name="connsiteY27" fmla="*/ 870857 h 1115785"/>
            <a:gd name="connsiteX28" fmla="*/ 723900 w 1649186"/>
            <a:gd name="connsiteY28" fmla="*/ 908957 h 1115785"/>
            <a:gd name="connsiteX29" fmla="*/ 696686 w 1649186"/>
            <a:gd name="connsiteY29" fmla="*/ 1012371 h 1115785"/>
            <a:gd name="connsiteX30" fmla="*/ 669471 w 1649186"/>
            <a:gd name="connsiteY30" fmla="*/ 1034142 h 1115785"/>
            <a:gd name="connsiteX31" fmla="*/ 669471 w 1649186"/>
            <a:gd name="connsiteY31" fmla="*/ 1099457 h 1115785"/>
            <a:gd name="connsiteX32" fmla="*/ 598714 w 1649186"/>
            <a:gd name="connsiteY32" fmla="*/ 1115785 h 1115785"/>
            <a:gd name="connsiteX33" fmla="*/ 555171 w 1649186"/>
            <a:gd name="connsiteY33" fmla="*/ 1072242 h 1115785"/>
            <a:gd name="connsiteX34" fmla="*/ 506186 w 1649186"/>
            <a:gd name="connsiteY34" fmla="*/ 1066800 h 1115785"/>
            <a:gd name="connsiteX35" fmla="*/ 462643 w 1649186"/>
            <a:gd name="connsiteY35" fmla="*/ 1023257 h 1115785"/>
            <a:gd name="connsiteX36" fmla="*/ 408214 w 1649186"/>
            <a:gd name="connsiteY36" fmla="*/ 947057 h 1115785"/>
            <a:gd name="connsiteX37" fmla="*/ 375557 w 1649186"/>
            <a:gd name="connsiteY37" fmla="*/ 947057 h 1115785"/>
            <a:gd name="connsiteX38" fmla="*/ 342900 w 1649186"/>
            <a:gd name="connsiteY38" fmla="*/ 870857 h 1115785"/>
            <a:gd name="connsiteX39" fmla="*/ 283028 w 1649186"/>
            <a:gd name="connsiteY39" fmla="*/ 805542 h 1115785"/>
            <a:gd name="connsiteX40" fmla="*/ 272143 w 1649186"/>
            <a:gd name="connsiteY40" fmla="*/ 740228 h 1115785"/>
            <a:gd name="connsiteX41" fmla="*/ 228600 w 1649186"/>
            <a:gd name="connsiteY41" fmla="*/ 723900 h 1115785"/>
            <a:gd name="connsiteX42" fmla="*/ 179614 w 1649186"/>
            <a:gd name="connsiteY42" fmla="*/ 756557 h 1115785"/>
            <a:gd name="connsiteX43" fmla="*/ 152400 w 1649186"/>
            <a:gd name="connsiteY43" fmla="*/ 723900 h 1115785"/>
            <a:gd name="connsiteX44" fmla="*/ 70757 w 1649186"/>
            <a:gd name="connsiteY44" fmla="*/ 729342 h 1115785"/>
            <a:gd name="connsiteX45" fmla="*/ 21771 w 1649186"/>
            <a:gd name="connsiteY45" fmla="*/ 669471 h 1115785"/>
            <a:gd name="connsiteX46" fmla="*/ 48986 w 1649186"/>
            <a:gd name="connsiteY46" fmla="*/ 587828 h 1115785"/>
            <a:gd name="connsiteX47" fmla="*/ 0 w 1649186"/>
            <a:gd name="connsiteY47" fmla="*/ 527957 h 1115785"/>
            <a:gd name="connsiteX48" fmla="*/ 21771 w 1649186"/>
            <a:gd name="connsiteY48" fmla="*/ 489857 h 1115785"/>
            <a:gd name="connsiteX49" fmla="*/ 54428 w 1649186"/>
            <a:gd name="connsiteY49" fmla="*/ 511628 h 1115785"/>
            <a:gd name="connsiteX50" fmla="*/ 87086 w 1649186"/>
            <a:gd name="connsiteY50" fmla="*/ 391885 h 1115785"/>
            <a:gd name="connsiteX51" fmla="*/ 65314 w 1649186"/>
            <a:gd name="connsiteY51" fmla="*/ 353785 h 1115785"/>
            <a:gd name="connsiteX52" fmla="*/ 87086 w 1649186"/>
            <a:gd name="connsiteY52" fmla="*/ 293914 h 1115785"/>
            <a:gd name="connsiteX53" fmla="*/ 174171 w 1649186"/>
            <a:gd name="connsiteY53" fmla="*/ 321128 h 1115785"/>
            <a:gd name="connsiteX54" fmla="*/ 234043 w 1649186"/>
            <a:gd name="connsiteY54" fmla="*/ 342900 h 1115785"/>
            <a:gd name="connsiteX55" fmla="*/ 304800 w 1649186"/>
            <a:gd name="connsiteY55" fmla="*/ 288471 h 1115785"/>
            <a:gd name="connsiteX56" fmla="*/ 337457 w 1649186"/>
            <a:gd name="connsiteY56" fmla="*/ 321128 h 1115785"/>
            <a:gd name="connsiteX57" fmla="*/ 364671 w 1649186"/>
            <a:gd name="connsiteY57" fmla="*/ 250371 h 1115785"/>
            <a:gd name="connsiteX58" fmla="*/ 386443 w 1649186"/>
            <a:gd name="connsiteY58" fmla="*/ 239485 h 1115785"/>
            <a:gd name="connsiteX59" fmla="*/ 342900 w 1649186"/>
            <a:gd name="connsiteY59" fmla="*/ 179614 h 1115785"/>
            <a:gd name="connsiteX60" fmla="*/ 451757 w 1649186"/>
            <a:gd name="connsiteY60" fmla="*/ 38100 h 1115785"/>
            <a:gd name="connsiteX61" fmla="*/ 571500 w 1649186"/>
            <a:gd name="connsiteY61" fmla="*/ 103414 h 1115785"/>
            <a:gd name="connsiteX62" fmla="*/ 653143 w 1649186"/>
            <a:gd name="connsiteY62" fmla="*/ 27214 h 1115785"/>
            <a:gd name="connsiteX63" fmla="*/ 773189 w 1649186"/>
            <a:gd name="connsiteY63" fmla="*/ 69057 h 1115785"/>
            <a:gd name="connsiteX64" fmla="*/ 762000 w 1649186"/>
            <a:gd name="connsiteY64" fmla="*/ 125185 h 1115785"/>
            <a:gd name="connsiteX65" fmla="*/ 821871 w 1649186"/>
            <a:gd name="connsiteY65" fmla="*/ 130628 h 1115785"/>
            <a:gd name="connsiteX66" fmla="*/ 914400 w 1649186"/>
            <a:gd name="connsiteY66" fmla="*/ 59871 h 1115785"/>
            <a:gd name="connsiteX67" fmla="*/ 957943 w 1649186"/>
            <a:gd name="connsiteY67" fmla="*/ 59871 h 1115785"/>
            <a:gd name="connsiteX68" fmla="*/ 963386 w 1649186"/>
            <a:gd name="connsiteY68" fmla="*/ 5442 h 1115785"/>
            <a:gd name="connsiteX69" fmla="*/ 1094014 w 1649186"/>
            <a:gd name="connsiteY69" fmla="*/ 0 h 1115785"/>
            <a:gd name="connsiteX70" fmla="*/ 1148443 w 1649186"/>
            <a:gd name="connsiteY70" fmla="*/ 70757 h 1115785"/>
            <a:gd name="connsiteX71" fmla="*/ 1181100 w 1649186"/>
            <a:gd name="connsiteY71" fmla="*/ 65314 h 1115785"/>
            <a:gd name="connsiteX72" fmla="*/ 1257300 w 1649186"/>
            <a:gd name="connsiteY72" fmla="*/ 234042 h 1115785"/>
            <a:gd name="connsiteX73" fmla="*/ 1338943 w 1649186"/>
            <a:gd name="connsiteY73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16528 w 1649186"/>
            <a:gd name="connsiteY10" fmla="*/ 522514 h 1115785"/>
            <a:gd name="connsiteX11" fmla="*/ 1649186 w 1649186"/>
            <a:gd name="connsiteY11" fmla="*/ 533400 h 1115785"/>
            <a:gd name="connsiteX12" fmla="*/ 1649186 w 1649186"/>
            <a:gd name="connsiteY12" fmla="*/ 609600 h 1115785"/>
            <a:gd name="connsiteX13" fmla="*/ 1529443 w 1649186"/>
            <a:gd name="connsiteY13" fmla="*/ 713014 h 1115785"/>
            <a:gd name="connsiteX14" fmla="*/ 1589314 w 1649186"/>
            <a:gd name="connsiteY14" fmla="*/ 821871 h 1115785"/>
            <a:gd name="connsiteX15" fmla="*/ 1496786 w 1649186"/>
            <a:gd name="connsiteY15" fmla="*/ 772885 h 1115785"/>
            <a:gd name="connsiteX16" fmla="*/ 1464128 w 1649186"/>
            <a:gd name="connsiteY16" fmla="*/ 718457 h 1115785"/>
            <a:gd name="connsiteX17" fmla="*/ 1366157 w 1649186"/>
            <a:gd name="connsiteY17" fmla="*/ 718457 h 1115785"/>
            <a:gd name="connsiteX18" fmla="*/ 1371600 w 1649186"/>
            <a:gd name="connsiteY18" fmla="*/ 685800 h 1115785"/>
            <a:gd name="connsiteX19" fmla="*/ 1349828 w 1649186"/>
            <a:gd name="connsiteY19" fmla="*/ 647700 h 1115785"/>
            <a:gd name="connsiteX20" fmla="*/ 1251857 w 1649186"/>
            <a:gd name="connsiteY20" fmla="*/ 745671 h 1115785"/>
            <a:gd name="connsiteX21" fmla="*/ 1208314 w 1649186"/>
            <a:gd name="connsiteY21" fmla="*/ 800100 h 1115785"/>
            <a:gd name="connsiteX22" fmla="*/ 1110343 w 1649186"/>
            <a:gd name="connsiteY22" fmla="*/ 772885 h 1115785"/>
            <a:gd name="connsiteX23" fmla="*/ 1055914 w 1649186"/>
            <a:gd name="connsiteY23" fmla="*/ 805542 h 1115785"/>
            <a:gd name="connsiteX24" fmla="*/ 957943 w 1649186"/>
            <a:gd name="connsiteY24" fmla="*/ 729342 h 1115785"/>
            <a:gd name="connsiteX25" fmla="*/ 892628 w 1649186"/>
            <a:gd name="connsiteY25" fmla="*/ 751114 h 1115785"/>
            <a:gd name="connsiteX26" fmla="*/ 870857 w 1649186"/>
            <a:gd name="connsiteY26" fmla="*/ 734785 h 1115785"/>
            <a:gd name="connsiteX27" fmla="*/ 783771 w 1649186"/>
            <a:gd name="connsiteY27" fmla="*/ 870857 h 1115785"/>
            <a:gd name="connsiteX28" fmla="*/ 723900 w 1649186"/>
            <a:gd name="connsiteY28" fmla="*/ 908957 h 1115785"/>
            <a:gd name="connsiteX29" fmla="*/ 696686 w 1649186"/>
            <a:gd name="connsiteY29" fmla="*/ 1012371 h 1115785"/>
            <a:gd name="connsiteX30" fmla="*/ 669471 w 1649186"/>
            <a:gd name="connsiteY30" fmla="*/ 1034142 h 1115785"/>
            <a:gd name="connsiteX31" fmla="*/ 669471 w 1649186"/>
            <a:gd name="connsiteY31" fmla="*/ 1099457 h 1115785"/>
            <a:gd name="connsiteX32" fmla="*/ 598714 w 1649186"/>
            <a:gd name="connsiteY32" fmla="*/ 1115785 h 1115785"/>
            <a:gd name="connsiteX33" fmla="*/ 555171 w 1649186"/>
            <a:gd name="connsiteY33" fmla="*/ 1072242 h 1115785"/>
            <a:gd name="connsiteX34" fmla="*/ 506186 w 1649186"/>
            <a:gd name="connsiteY34" fmla="*/ 1066800 h 1115785"/>
            <a:gd name="connsiteX35" fmla="*/ 462643 w 1649186"/>
            <a:gd name="connsiteY35" fmla="*/ 1023257 h 1115785"/>
            <a:gd name="connsiteX36" fmla="*/ 408214 w 1649186"/>
            <a:gd name="connsiteY36" fmla="*/ 947057 h 1115785"/>
            <a:gd name="connsiteX37" fmla="*/ 375557 w 1649186"/>
            <a:gd name="connsiteY37" fmla="*/ 947057 h 1115785"/>
            <a:gd name="connsiteX38" fmla="*/ 342900 w 1649186"/>
            <a:gd name="connsiteY38" fmla="*/ 870857 h 1115785"/>
            <a:gd name="connsiteX39" fmla="*/ 283028 w 1649186"/>
            <a:gd name="connsiteY39" fmla="*/ 805542 h 1115785"/>
            <a:gd name="connsiteX40" fmla="*/ 272143 w 1649186"/>
            <a:gd name="connsiteY40" fmla="*/ 740228 h 1115785"/>
            <a:gd name="connsiteX41" fmla="*/ 228600 w 1649186"/>
            <a:gd name="connsiteY41" fmla="*/ 723900 h 1115785"/>
            <a:gd name="connsiteX42" fmla="*/ 179614 w 1649186"/>
            <a:gd name="connsiteY42" fmla="*/ 756557 h 1115785"/>
            <a:gd name="connsiteX43" fmla="*/ 152400 w 1649186"/>
            <a:gd name="connsiteY43" fmla="*/ 723900 h 1115785"/>
            <a:gd name="connsiteX44" fmla="*/ 70757 w 1649186"/>
            <a:gd name="connsiteY44" fmla="*/ 729342 h 1115785"/>
            <a:gd name="connsiteX45" fmla="*/ 21771 w 1649186"/>
            <a:gd name="connsiteY45" fmla="*/ 669471 h 1115785"/>
            <a:gd name="connsiteX46" fmla="*/ 48986 w 1649186"/>
            <a:gd name="connsiteY46" fmla="*/ 587828 h 1115785"/>
            <a:gd name="connsiteX47" fmla="*/ 0 w 1649186"/>
            <a:gd name="connsiteY47" fmla="*/ 527957 h 1115785"/>
            <a:gd name="connsiteX48" fmla="*/ 21771 w 1649186"/>
            <a:gd name="connsiteY48" fmla="*/ 489857 h 1115785"/>
            <a:gd name="connsiteX49" fmla="*/ 54428 w 1649186"/>
            <a:gd name="connsiteY49" fmla="*/ 511628 h 1115785"/>
            <a:gd name="connsiteX50" fmla="*/ 87086 w 1649186"/>
            <a:gd name="connsiteY50" fmla="*/ 391885 h 1115785"/>
            <a:gd name="connsiteX51" fmla="*/ 65314 w 1649186"/>
            <a:gd name="connsiteY51" fmla="*/ 353785 h 1115785"/>
            <a:gd name="connsiteX52" fmla="*/ 87086 w 1649186"/>
            <a:gd name="connsiteY52" fmla="*/ 293914 h 1115785"/>
            <a:gd name="connsiteX53" fmla="*/ 174171 w 1649186"/>
            <a:gd name="connsiteY53" fmla="*/ 321128 h 1115785"/>
            <a:gd name="connsiteX54" fmla="*/ 234043 w 1649186"/>
            <a:gd name="connsiteY54" fmla="*/ 342900 h 1115785"/>
            <a:gd name="connsiteX55" fmla="*/ 304800 w 1649186"/>
            <a:gd name="connsiteY55" fmla="*/ 288471 h 1115785"/>
            <a:gd name="connsiteX56" fmla="*/ 351714 w 1649186"/>
            <a:gd name="connsiteY56" fmla="*/ 313984 h 1115785"/>
            <a:gd name="connsiteX57" fmla="*/ 364671 w 1649186"/>
            <a:gd name="connsiteY57" fmla="*/ 250371 h 1115785"/>
            <a:gd name="connsiteX58" fmla="*/ 386443 w 1649186"/>
            <a:gd name="connsiteY58" fmla="*/ 239485 h 1115785"/>
            <a:gd name="connsiteX59" fmla="*/ 342900 w 1649186"/>
            <a:gd name="connsiteY59" fmla="*/ 179614 h 1115785"/>
            <a:gd name="connsiteX60" fmla="*/ 451757 w 1649186"/>
            <a:gd name="connsiteY60" fmla="*/ 38100 h 1115785"/>
            <a:gd name="connsiteX61" fmla="*/ 571500 w 1649186"/>
            <a:gd name="connsiteY61" fmla="*/ 103414 h 1115785"/>
            <a:gd name="connsiteX62" fmla="*/ 653143 w 1649186"/>
            <a:gd name="connsiteY62" fmla="*/ 27214 h 1115785"/>
            <a:gd name="connsiteX63" fmla="*/ 773189 w 1649186"/>
            <a:gd name="connsiteY63" fmla="*/ 69057 h 1115785"/>
            <a:gd name="connsiteX64" fmla="*/ 762000 w 1649186"/>
            <a:gd name="connsiteY64" fmla="*/ 125185 h 1115785"/>
            <a:gd name="connsiteX65" fmla="*/ 821871 w 1649186"/>
            <a:gd name="connsiteY65" fmla="*/ 130628 h 1115785"/>
            <a:gd name="connsiteX66" fmla="*/ 914400 w 1649186"/>
            <a:gd name="connsiteY66" fmla="*/ 59871 h 1115785"/>
            <a:gd name="connsiteX67" fmla="*/ 957943 w 1649186"/>
            <a:gd name="connsiteY67" fmla="*/ 59871 h 1115785"/>
            <a:gd name="connsiteX68" fmla="*/ 963386 w 1649186"/>
            <a:gd name="connsiteY68" fmla="*/ 5442 h 1115785"/>
            <a:gd name="connsiteX69" fmla="*/ 1094014 w 1649186"/>
            <a:gd name="connsiteY69" fmla="*/ 0 h 1115785"/>
            <a:gd name="connsiteX70" fmla="*/ 1148443 w 1649186"/>
            <a:gd name="connsiteY70" fmla="*/ 70757 h 1115785"/>
            <a:gd name="connsiteX71" fmla="*/ 1181100 w 1649186"/>
            <a:gd name="connsiteY71" fmla="*/ 65314 h 1115785"/>
            <a:gd name="connsiteX72" fmla="*/ 1257300 w 1649186"/>
            <a:gd name="connsiteY72" fmla="*/ 234042 h 1115785"/>
            <a:gd name="connsiteX73" fmla="*/ 1338943 w 1649186"/>
            <a:gd name="connsiteY73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16528 w 1649186"/>
            <a:gd name="connsiteY10" fmla="*/ 522514 h 1115785"/>
            <a:gd name="connsiteX11" fmla="*/ 1649186 w 1649186"/>
            <a:gd name="connsiteY11" fmla="*/ 533400 h 1115785"/>
            <a:gd name="connsiteX12" fmla="*/ 1649186 w 1649186"/>
            <a:gd name="connsiteY12" fmla="*/ 609600 h 1115785"/>
            <a:gd name="connsiteX13" fmla="*/ 1529443 w 1649186"/>
            <a:gd name="connsiteY13" fmla="*/ 713014 h 1115785"/>
            <a:gd name="connsiteX14" fmla="*/ 1589314 w 1649186"/>
            <a:gd name="connsiteY14" fmla="*/ 821871 h 1115785"/>
            <a:gd name="connsiteX15" fmla="*/ 1496786 w 1649186"/>
            <a:gd name="connsiteY15" fmla="*/ 772885 h 1115785"/>
            <a:gd name="connsiteX16" fmla="*/ 1464128 w 1649186"/>
            <a:gd name="connsiteY16" fmla="*/ 718457 h 1115785"/>
            <a:gd name="connsiteX17" fmla="*/ 1366157 w 1649186"/>
            <a:gd name="connsiteY17" fmla="*/ 718457 h 1115785"/>
            <a:gd name="connsiteX18" fmla="*/ 1371600 w 1649186"/>
            <a:gd name="connsiteY18" fmla="*/ 685800 h 1115785"/>
            <a:gd name="connsiteX19" fmla="*/ 1349828 w 1649186"/>
            <a:gd name="connsiteY19" fmla="*/ 647700 h 1115785"/>
            <a:gd name="connsiteX20" fmla="*/ 1251857 w 1649186"/>
            <a:gd name="connsiteY20" fmla="*/ 745671 h 1115785"/>
            <a:gd name="connsiteX21" fmla="*/ 1208314 w 1649186"/>
            <a:gd name="connsiteY21" fmla="*/ 800100 h 1115785"/>
            <a:gd name="connsiteX22" fmla="*/ 1110343 w 1649186"/>
            <a:gd name="connsiteY22" fmla="*/ 772885 h 1115785"/>
            <a:gd name="connsiteX23" fmla="*/ 1055914 w 1649186"/>
            <a:gd name="connsiteY23" fmla="*/ 805542 h 1115785"/>
            <a:gd name="connsiteX24" fmla="*/ 957943 w 1649186"/>
            <a:gd name="connsiteY24" fmla="*/ 729342 h 1115785"/>
            <a:gd name="connsiteX25" fmla="*/ 892628 w 1649186"/>
            <a:gd name="connsiteY25" fmla="*/ 751114 h 1115785"/>
            <a:gd name="connsiteX26" fmla="*/ 870857 w 1649186"/>
            <a:gd name="connsiteY26" fmla="*/ 734785 h 1115785"/>
            <a:gd name="connsiteX27" fmla="*/ 783771 w 1649186"/>
            <a:gd name="connsiteY27" fmla="*/ 870857 h 1115785"/>
            <a:gd name="connsiteX28" fmla="*/ 723900 w 1649186"/>
            <a:gd name="connsiteY28" fmla="*/ 908957 h 1115785"/>
            <a:gd name="connsiteX29" fmla="*/ 696686 w 1649186"/>
            <a:gd name="connsiteY29" fmla="*/ 1012371 h 1115785"/>
            <a:gd name="connsiteX30" fmla="*/ 669471 w 1649186"/>
            <a:gd name="connsiteY30" fmla="*/ 1034142 h 1115785"/>
            <a:gd name="connsiteX31" fmla="*/ 669471 w 1649186"/>
            <a:gd name="connsiteY31" fmla="*/ 1099457 h 1115785"/>
            <a:gd name="connsiteX32" fmla="*/ 598714 w 1649186"/>
            <a:gd name="connsiteY32" fmla="*/ 1115785 h 1115785"/>
            <a:gd name="connsiteX33" fmla="*/ 555171 w 1649186"/>
            <a:gd name="connsiteY33" fmla="*/ 1072242 h 1115785"/>
            <a:gd name="connsiteX34" fmla="*/ 506186 w 1649186"/>
            <a:gd name="connsiteY34" fmla="*/ 1066800 h 1115785"/>
            <a:gd name="connsiteX35" fmla="*/ 462643 w 1649186"/>
            <a:gd name="connsiteY35" fmla="*/ 1023257 h 1115785"/>
            <a:gd name="connsiteX36" fmla="*/ 408214 w 1649186"/>
            <a:gd name="connsiteY36" fmla="*/ 947057 h 1115785"/>
            <a:gd name="connsiteX37" fmla="*/ 375557 w 1649186"/>
            <a:gd name="connsiteY37" fmla="*/ 947057 h 1115785"/>
            <a:gd name="connsiteX38" fmla="*/ 342900 w 1649186"/>
            <a:gd name="connsiteY38" fmla="*/ 870857 h 1115785"/>
            <a:gd name="connsiteX39" fmla="*/ 283028 w 1649186"/>
            <a:gd name="connsiteY39" fmla="*/ 805542 h 1115785"/>
            <a:gd name="connsiteX40" fmla="*/ 272143 w 1649186"/>
            <a:gd name="connsiteY40" fmla="*/ 740228 h 1115785"/>
            <a:gd name="connsiteX41" fmla="*/ 228600 w 1649186"/>
            <a:gd name="connsiteY41" fmla="*/ 723900 h 1115785"/>
            <a:gd name="connsiteX42" fmla="*/ 179614 w 1649186"/>
            <a:gd name="connsiteY42" fmla="*/ 756557 h 1115785"/>
            <a:gd name="connsiteX43" fmla="*/ 152400 w 1649186"/>
            <a:gd name="connsiteY43" fmla="*/ 723900 h 1115785"/>
            <a:gd name="connsiteX44" fmla="*/ 70757 w 1649186"/>
            <a:gd name="connsiteY44" fmla="*/ 729342 h 1115785"/>
            <a:gd name="connsiteX45" fmla="*/ 21771 w 1649186"/>
            <a:gd name="connsiteY45" fmla="*/ 669471 h 1115785"/>
            <a:gd name="connsiteX46" fmla="*/ 48986 w 1649186"/>
            <a:gd name="connsiteY46" fmla="*/ 587828 h 1115785"/>
            <a:gd name="connsiteX47" fmla="*/ 0 w 1649186"/>
            <a:gd name="connsiteY47" fmla="*/ 527957 h 1115785"/>
            <a:gd name="connsiteX48" fmla="*/ 21771 w 1649186"/>
            <a:gd name="connsiteY48" fmla="*/ 489857 h 1115785"/>
            <a:gd name="connsiteX49" fmla="*/ 54428 w 1649186"/>
            <a:gd name="connsiteY49" fmla="*/ 511628 h 1115785"/>
            <a:gd name="connsiteX50" fmla="*/ 87086 w 1649186"/>
            <a:gd name="connsiteY50" fmla="*/ 391885 h 1115785"/>
            <a:gd name="connsiteX51" fmla="*/ 65314 w 1649186"/>
            <a:gd name="connsiteY51" fmla="*/ 353785 h 1115785"/>
            <a:gd name="connsiteX52" fmla="*/ 87086 w 1649186"/>
            <a:gd name="connsiteY52" fmla="*/ 293914 h 1115785"/>
            <a:gd name="connsiteX53" fmla="*/ 174171 w 1649186"/>
            <a:gd name="connsiteY53" fmla="*/ 321128 h 1115785"/>
            <a:gd name="connsiteX54" fmla="*/ 234043 w 1649186"/>
            <a:gd name="connsiteY54" fmla="*/ 342900 h 1115785"/>
            <a:gd name="connsiteX55" fmla="*/ 314304 w 1649186"/>
            <a:gd name="connsiteY55" fmla="*/ 288471 h 1115785"/>
            <a:gd name="connsiteX56" fmla="*/ 351714 w 1649186"/>
            <a:gd name="connsiteY56" fmla="*/ 313984 h 1115785"/>
            <a:gd name="connsiteX57" fmla="*/ 364671 w 1649186"/>
            <a:gd name="connsiteY57" fmla="*/ 250371 h 1115785"/>
            <a:gd name="connsiteX58" fmla="*/ 386443 w 1649186"/>
            <a:gd name="connsiteY58" fmla="*/ 239485 h 1115785"/>
            <a:gd name="connsiteX59" fmla="*/ 342900 w 1649186"/>
            <a:gd name="connsiteY59" fmla="*/ 179614 h 1115785"/>
            <a:gd name="connsiteX60" fmla="*/ 451757 w 1649186"/>
            <a:gd name="connsiteY60" fmla="*/ 38100 h 1115785"/>
            <a:gd name="connsiteX61" fmla="*/ 571500 w 1649186"/>
            <a:gd name="connsiteY61" fmla="*/ 103414 h 1115785"/>
            <a:gd name="connsiteX62" fmla="*/ 653143 w 1649186"/>
            <a:gd name="connsiteY62" fmla="*/ 27214 h 1115785"/>
            <a:gd name="connsiteX63" fmla="*/ 773189 w 1649186"/>
            <a:gd name="connsiteY63" fmla="*/ 69057 h 1115785"/>
            <a:gd name="connsiteX64" fmla="*/ 762000 w 1649186"/>
            <a:gd name="connsiteY64" fmla="*/ 125185 h 1115785"/>
            <a:gd name="connsiteX65" fmla="*/ 821871 w 1649186"/>
            <a:gd name="connsiteY65" fmla="*/ 130628 h 1115785"/>
            <a:gd name="connsiteX66" fmla="*/ 914400 w 1649186"/>
            <a:gd name="connsiteY66" fmla="*/ 59871 h 1115785"/>
            <a:gd name="connsiteX67" fmla="*/ 957943 w 1649186"/>
            <a:gd name="connsiteY67" fmla="*/ 59871 h 1115785"/>
            <a:gd name="connsiteX68" fmla="*/ 963386 w 1649186"/>
            <a:gd name="connsiteY68" fmla="*/ 5442 h 1115785"/>
            <a:gd name="connsiteX69" fmla="*/ 1094014 w 1649186"/>
            <a:gd name="connsiteY69" fmla="*/ 0 h 1115785"/>
            <a:gd name="connsiteX70" fmla="*/ 1148443 w 1649186"/>
            <a:gd name="connsiteY70" fmla="*/ 70757 h 1115785"/>
            <a:gd name="connsiteX71" fmla="*/ 1181100 w 1649186"/>
            <a:gd name="connsiteY71" fmla="*/ 65314 h 1115785"/>
            <a:gd name="connsiteX72" fmla="*/ 1257300 w 1649186"/>
            <a:gd name="connsiteY72" fmla="*/ 234042 h 1115785"/>
            <a:gd name="connsiteX73" fmla="*/ 1338943 w 1649186"/>
            <a:gd name="connsiteY73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49186 w 1649186"/>
            <a:gd name="connsiteY10" fmla="*/ 533400 h 1115785"/>
            <a:gd name="connsiteX11" fmla="*/ 1649186 w 1649186"/>
            <a:gd name="connsiteY11" fmla="*/ 609600 h 1115785"/>
            <a:gd name="connsiteX12" fmla="*/ 1529443 w 1649186"/>
            <a:gd name="connsiteY12" fmla="*/ 713014 h 1115785"/>
            <a:gd name="connsiteX13" fmla="*/ 1589314 w 1649186"/>
            <a:gd name="connsiteY13" fmla="*/ 821871 h 1115785"/>
            <a:gd name="connsiteX14" fmla="*/ 1496786 w 1649186"/>
            <a:gd name="connsiteY14" fmla="*/ 772885 h 1115785"/>
            <a:gd name="connsiteX15" fmla="*/ 1464128 w 1649186"/>
            <a:gd name="connsiteY15" fmla="*/ 718457 h 1115785"/>
            <a:gd name="connsiteX16" fmla="*/ 1366157 w 1649186"/>
            <a:gd name="connsiteY16" fmla="*/ 718457 h 1115785"/>
            <a:gd name="connsiteX17" fmla="*/ 1371600 w 1649186"/>
            <a:gd name="connsiteY17" fmla="*/ 685800 h 1115785"/>
            <a:gd name="connsiteX18" fmla="*/ 1349828 w 1649186"/>
            <a:gd name="connsiteY18" fmla="*/ 647700 h 1115785"/>
            <a:gd name="connsiteX19" fmla="*/ 1251857 w 1649186"/>
            <a:gd name="connsiteY19" fmla="*/ 745671 h 1115785"/>
            <a:gd name="connsiteX20" fmla="*/ 1208314 w 1649186"/>
            <a:gd name="connsiteY20" fmla="*/ 800100 h 1115785"/>
            <a:gd name="connsiteX21" fmla="*/ 1110343 w 1649186"/>
            <a:gd name="connsiteY21" fmla="*/ 772885 h 1115785"/>
            <a:gd name="connsiteX22" fmla="*/ 1055914 w 1649186"/>
            <a:gd name="connsiteY22" fmla="*/ 805542 h 1115785"/>
            <a:gd name="connsiteX23" fmla="*/ 957943 w 1649186"/>
            <a:gd name="connsiteY23" fmla="*/ 729342 h 1115785"/>
            <a:gd name="connsiteX24" fmla="*/ 892628 w 1649186"/>
            <a:gd name="connsiteY24" fmla="*/ 751114 h 1115785"/>
            <a:gd name="connsiteX25" fmla="*/ 870857 w 1649186"/>
            <a:gd name="connsiteY25" fmla="*/ 734785 h 1115785"/>
            <a:gd name="connsiteX26" fmla="*/ 783771 w 1649186"/>
            <a:gd name="connsiteY26" fmla="*/ 870857 h 1115785"/>
            <a:gd name="connsiteX27" fmla="*/ 723900 w 1649186"/>
            <a:gd name="connsiteY27" fmla="*/ 908957 h 1115785"/>
            <a:gd name="connsiteX28" fmla="*/ 696686 w 1649186"/>
            <a:gd name="connsiteY28" fmla="*/ 1012371 h 1115785"/>
            <a:gd name="connsiteX29" fmla="*/ 669471 w 1649186"/>
            <a:gd name="connsiteY29" fmla="*/ 1034142 h 1115785"/>
            <a:gd name="connsiteX30" fmla="*/ 669471 w 1649186"/>
            <a:gd name="connsiteY30" fmla="*/ 1099457 h 1115785"/>
            <a:gd name="connsiteX31" fmla="*/ 598714 w 1649186"/>
            <a:gd name="connsiteY31" fmla="*/ 1115785 h 1115785"/>
            <a:gd name="connsiteX32" fmla="*/ 555171 w 1649186"/>
            <a:gd name="connsiteY32" fmla="*/ 1072242 h 1115785"/>
            <a:gd name="connsiteX33" fmla="*/ 506186 w 1649186"/>
            <a:gd name="connsiteY33" fmla="*/ 1066800 h 1115785"/>
            <a:gd name="connsiteX34" fmla="*/ 462643 w 1649186"/>
            <a:gd name="connsiteY34" fmla="*/ 1023257 h 1115785"/>
            <a:gd name="connsiteX35" fmla="*/ 408214 w 1649186"/>
            <a:gd name="connsiteY35" fmla="*/ 947057 h 1115785"/>
            <a:gd name="connsiteX36" fmla="*/ 375557 w 1649186"/>
            <a:gd name="connsiteY36" fmla="*/ 947057 h 1115785"/>
            <a:gd name="connsiteX37" fmla="*/ 342900 w 1649186"/>
            <a:gd name="connsiteY37" fmla="*/ 870857 h 1115785"/>
            <a:gd name="connsiteX38" fmla="*/ 283028 w 1649186"/>
            <a:gd name="connsiteY38" fmla="*/ 805542 h 1115785"/>
            <a:gd name="connsiteX39" fmla="*/ 272143 w 1649186"/>
            <a:gd name="connsiteY39" fmla="*/ 740228 h 1115785"/>
            <a:gd name="connsiteX40" fmla="*/ 228600 w 1649186"/>
            <a:gd name="connsiteY40" fmla="*/ 723900 h 1115785"/>
            <a:gd name="connsiteX41" fmla="*/ 179614 w 1649186"/>
            <a:gd name="connsiteY41" fmla="*/ 756557 h 1115785"/>
            <a:gd name="connsiteX42" fmla="*/ 152400 w 1649186"/>
            <a:gd name="connsiteY42" fmla="*/ 723900 h 1115785"/>
            <a:gd name="connsiteX43" fmla="*/ 70757 w 1649186"/>
            <a:gd name="connsiteY43" fmla="*/ 729342 h 1115785"/>
            <a:gd name="connsiteX44" fmla="*/ 21771 w 1649186"/>
            <a:gd name="connsiteY44" fmla="*/ 669471 h 1115785"/>
            <a:gd name="connsiteX45" fmla="*/ 48986 w 1649186"/>
            <a:gd name="connsiteY45" fmla="*/ 587828 h 1115785"/>
            <a:gd name="connsiteX46" fmla="*/ 0 w 1649186"/>
            <a:gd name="connsiteY46" fmla="*/ 527957 h 1115785"/>
            <a:gd name="connsiteX47" fmla="*/ 21771 w 1649186"/>
            <a:gd name="connsiteY47" fmla="*/ 489857 h 1115785"/>
            <a:gd name="connsiteX48" fmla="*/ 54428 w 1649186"/>
            <a:gd name="connsiteY48" fmla="*/ 511628 h 1115785"/>
            <a:gd name="connsiteX49" fmla="*/ 87086 w 1649186"/>
            <a:gd name="connsiteY49" fmla="*/ 391885 h 1115785"/>
            <a:gd name="connsiteX50" fmla="*/ 65314 w 1649186"/>
            <a:gd name="connsiteY50" fmla="*/ 353785 h 1115785"/>
            <a:gd name="connsiteX51" fmla="*/ 87086 w 1649186"/>
            <a:gd name="connsiteY51" fmla="*/ 293914 h 1115785"/>
            <a:gd name="connsiteX52" fmla="*/ 174171 w 1649186"/>
            <a:gd name="connsiteY52" fmla="*/ 321128 h 1115785"/>
            <a:gd name="connsiteX53" fmla="*/ 234043 w 1649186"/>
            <a:gd name="connsiteY53" fmla="*/ 342900 h 1115785"/>
            <a:gd name="connsiteX54" fmla="*/ 314304 w 1649186"/>
            <a:gd name="connsiteY54" fmla="*/ 288471 h 1115785"/>
            <a:gd name="connsiteX55" fmla="*/ 351714 w 1649186"/>
            <a:gd name="connsiteY55" fmla="*/ 313984 h 1115785"/>
            <a:gd name="connsiteX56" fmla="*/ 364671 w 1649186"/>
            <a:gd name="connsiteY56" fmla="*/ 250371 h 1115785"/>
            <a:gd name="connsiteX57" fmla="*/ 386443 w 1649186"/>
            <a:gd name="connsiteY57" fmla="*/ 239485 h 1115785"/>
            <a:gd name="connsiteX58" fmla="*/ 342900 w 1649186"/>
            <a:gd name="connsiteY58" fmla="*/ 179614 h 1115785"/>
            <a:gd name="connsiteX59" fmla="*/ 451757 w 1649186"/>
            <a:gd name="connsiteY59" fmla="*/ 38100 h 1115785"/>
            <a:gd name="connsiteX60" fmla="*/ 571500 w 1649186"/>
            <a:gd name="connsiteY60" fmla="*/ 103414 h 1115785"/>
            <a:gd name="connsiteX61" fmla="*/ 653143 w 1649186"/>
            <a:gd name="connsiteY61" fmla="*/ 27214 h 1115785"/>
            <a:gd name="connsiteX62" fmla="*/ 773189 w 1649186"/>
            <a:gd name="connsiteY62" fmla="*/ 69057 h 1115785"/>
            <a:gd name="connsiteX63" fmla="*/ 762000 w 1649186"/>
            <a:gd name="connsiteY63" fmla="*/ 125185 h 1115785"/>
            <a:gd name="connsiteX64" fmla="*/ 821871 w 1649186"/>
            <a:gd name="connsiteY64" fmla="*/ 130628 h 1115785"/>
            <a:gd name="connsiteX65" fmla="*/ 914400 w 1649186"/>
            <a:gd name="connsiteY65" fmla="*/ 59871 h 1115785"/>
            <a:gd name="connsiteX66" fmla="*/ 957943 w 1649186"/>
            <a:gd name="connsiteY66" fmla="*/ 59871 h 1115785"/>
            <a:gd name="connsiteX67" fmla="*/ 963386 w 1649186"/>
            <a:gd name="connsiteY67" fmla="*/ 5442 h 1115785"/>
            <a:gd name="connsiteX68" fmla="*/ 1094014 w 1649186"/>
            <a:gd name="connsiteY68" fmla="*/ 0 h 1115785"/>
            <a:gd name="connsiteX69" fmla="*/ 1148443 w 1649186"/>
            <a:gd name="connsiteY69" fmla="*/ 70757 h 1115785"/>
            <a:gd name="connsiteX70" fmla="*/ 1181100 w 1649186"/>
            <a:gd name="connsiteY70" fmla="*/ 65314 h 1115785"/>
            <a:gd name="connsiteX71" fmla="*/ 1257300 w 1649186"/>
            <a:gd name="connsiteY71" fmla="*/ 234042 h 1115785"/>
            <a:gd name="connsiteX72" fmla="*/ 1338943 w 1649186"/>
            <a:gd name="connsiteY72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46810 w 1649186"/>
            <a:gd name="connsiteY10" fmla="*/ 526256 h 1115785"/>
            <a:gd name="connsiteX11" fmla="*/ 1649186 w 1649186"/>
            <a:gd name="connsiteY11" fmla="*/ 609600 h 1115785"/>
            <a:gd name="connsiteX12" fmla="*/ 1529443 w 1649186"/>
            <a:gd name="connsiteY12" fmla="*/ 713014 h 1115785"/>
            <a:gd name="connsiteX13" fmla="*/ 1589314 w 1649186"/>
            <a:gd name="connsiteY13" fmla="*/ 821871 h 1115785"/>
            <a:gd name="connsiteX14" fmla="*/ 1496786 w 1649186"/>
            <a:gd name="connsiteY14" fmla="*/ 772885 h 1115785"/>
            <a:gd name="connsiteX15" fmla="*/ 1464128 w 1649186"/>
            <a:gd name="connsiteY15" fmla="*/ 718457 h 1115785"/>
            <a:gd name="connsiteX16" fmla="*/ 1366157 w 1649186"/>
            <a:gd name="connsiteY16" fmla="*/ 718457 h 1115785"/>
            <a:gd name="connsiteX17" fmla="*/ 1371600 w 1649186"/>
            <a:gd name="connsiteY17" fmla="*/ 685800 h 1115785"/>
            <a:gd name="connsiteX18" fmla="*/ 1349828 w 1649186"/>
            <a:gd name="connsiteY18" fmla="*/ 647700 h 1115785"/>
            <a:gd name="connsiteX19" fmla="*/ 1251857 w 1649186"/>
            <a:gd name="connsiteY19" fmla="*/ 745671 h 1115785"/>
            <a:gd name="connsiteX20" fmla="*/ 1208314 w 1649186"/>
            <a:gd name="connsiteY20" fmla="*/ 800100 h 1115785"/>
            <a:gd name="connsiteX21" fmla="*/ 1110343 w 1649186"/>
            <a:gd name="connsiteY21" fmla="*/ 772885 h 1115785"/>
            <a:gd name="connsiteX22" fmla="*/ 1055914 w 1649186"/>
            <a:gd name="connsiteY22" fmla="*/ 805542 h 1115785"/>
            <a:gd name="connsiteX23" fmla="*/ 957943 w 1649186"/>
            <a:gd name="connsiteY23" fmla="*/ 729342 h 1115785"/>
            <a:gd name="connsiteX24" fmla="*/ 892628 w 1649186"/>
            <a:gd name="connsiteY24" fmla="*/ 751114 h 1115785"/>
            <a:gd name="connsiteX25" fmla="*/ 870857 w 1649186"/>
            <a:gd name="connsiteY25" fmla="*/ 734785 h 1115785"/>
            <a:gd name="connsiteX26" fmla="*/ 783771 w 1649186"/>
            <a:gd name="connsiteY26" fmla="*/ 870857 h 1115785"/>
            <a:gd name="connsiteX27" fmla="*/ 723900 w 1649186"/>
            <a:gd name="connsiteY27" fmla="*/ 908957 h 1115785"/>
            <a:gd name="connsiteX28" fmla="*/ 696686 w 1649186"/>
            <a:gd name="connsiteY28" fmla="*/ 1012371 h 1115785"/>
            <a:gd name="connsiteX29" fmla="*/ 669471 w 1649186"/>
            <a:gd name="connsiteY29" fmla="*/ 1034142 h 1115785"/>
            <a:gd name="connsiteX30" fmla="*/ 669471 w 1649186"/>
            <a:gd name="connsiteY30" fmla="*/ 1099457 h 1115785"/>
            <a:gd name="connsiteX31" fmla="*/ 598714 w 1649186"/>
            <a:gd name="connsiteY31" fmla="*/ 1115785 h 1115785"/>
            <a:gd name="connsiteX32" fmla="*/ 555171 w 1649186"/>
            <a:gd name="connsiteY32" fmla="*/ 1072242 h 1115785"/>
            <a:gd name="connsiteX33" fmla="*/ 506186 w 1649186"/>
            <a:gd name="connsiteY33" fmla="*/ 1066800 h 1115785"/>
            <a:gd name="connsiteX34" fmla="*/ 462643 w 1649186"/>
            <a:gd name="connsiteY34" fmla="*/ 1023257 h 1115785"/>
            <a:gd name="connsiteX35" fmla="*/ 408214 w 1649186"/>
            <a:gd name="connsiteY35" fmla="*/ 947057 h 1115785"/>
            <a:gd name="connsiteX36" fmla="*/ 375557 w 1649186"/>
            <a:gd name="connsiteY36" fmla="*/ 947057 h 1115785"/>
            <a:gd name="connsiteX37" fmla="*/ 342900 w 1649186"/>
            <a:gd name="connsiteY37" fmla="*/ 870857 h 1115785"/>
            <a:gd name="connsiteX38" fmla="*/ 283028 w 1649186"/>
            <a:gd name="connsiteY38" fmla="*/ 805542 h 1115785"/>
            <a:gd name="connsiteX39" fmla="*/ 272143 w 1649186"/>
            <a:gd name="connsiteY39" fmla="*/ 740228 h 1115785"/>
            <a:gd name="connsiteX40" fmla="*/ 228600 w 1649186"/>
            <a:gd name="connsiteY40" fmla="*/ 723900 h 1115785"/>
            <a:gd name="connsiteX41" fmla="*/ 179614 w 1649186"/>
            <a:gd name="connsiteY41" fmla="*/ 756557 h 1115785"/>
            <a:gd name="connsiteX42" fmla="*/ 152400 w 1649186"/>
            <a:gd name="connsiteY42" fmla="*/ 723900 h 1115785"/>
            <a:gd name="connsiteX43" fmla="*/ 70757 w 1649186"/>
            <a:gd name="connsiteY43" fmla="*/ 729342 h 1115785"/>
            <a:gd name="connsiteX44" fmla="*/ 21771 w 1649186"/>
            <a:gd name="connsiteY44" fmla="*/ 669471 h 1115785"/>
            <a:gd name="connsiteX45" fmla="*/ 48986 w 1649186"/>
            <a:gd name="connsiteY45" fmla="*/ 587828 h 1115785"/>
            <a:gd name="connsiteX46" fmla="*/ 0 w 1649186"/>
            <a:gd name="connsiteY46" fmla="*/ 527957 h 1115785"/>
            <a:gd name="connsiteX47" fmla="*/ 21771 w 1649186"/>
            <a:gd name="connsiteY47" fmla="*/ 489857 h 1115785"/>
            <a:gd name="connsiteX48" fmla="*/ 54428 w 1649186"/>
            <a:gd name="connsiteY48" fmla="*/ 511628 h 1115785"/>
            <a:gd name="connsiteX49" fmla="*/ 87086 w 1649186"/>
            <a:gd name="connsiteY49" fmla="*/ 391885 h 1115785"/>
            <a:gd name="connsiteX50" fmla="*/ 65314 w 1649186"/>
            <a:gd name="connsiteY50" fmla="*/ 353785 h 1115785"/>
            <a:gd name="connsiteX51" fmla="*/ 87086 w 1649186"/>
            <a:gd name="connsiteY51" fmla="*/ 293914 h 1115785"/>
            <a:gd name="connsiteX52" fmla="*/ 174171 w 1649186"/>
            <a:gd name="connsiteY52" fmla="*/ 321128 h 1115785"/>
            <a:gd name="connsiteX53" fmla="*/ 234043 w 1649186"/>
            <a:gd name="connsiteY53" fmla="*/ 342900 h 1115785"/>
            <a:gd name="connsiteX54" fmla="*/ 314304 w 1649186"/>
            <a:gd name="connsiteY54" fmla="*/ 288471 h 1115785"/>
            <a:gd name="connsiteX55" fmla="*/ 351714 w 1649186"/>
            <a:gd name="connsiteY55" fmla="*/ 313984 h 1115785"/>
            <a:gd name="connsiteX56" fmla="*/ 364671 w 1649186"/>
            <a:gd name="connsiteY56" fmla="*/ 250371 h 1115785"/>
            <a:gd name="connsiteX57" fmla="*/ 386443 w 1649186"/>
            <a:gd name="connsiteY57" fmla="*/ 239485 h 1115785"/>
            <a:gd name="connsiteX58" fmla="*/ 342900 w 1649186"/>
            <a:gd name="connsiteY58" fmla="*/ 179614 h 1115785"/>
            <a:gd name="connsiteX59" fmla="*/ 451757 w 1649186"/>
            <a:gd name="connsiteY59" fmla="*/ 38100 h 1115785"/>
            <a:gd name="connsiteX60" fmla="*/ 571500 w 1649186"/>
            <a:gd name="connsiteY60" fmla="*/ 103414 h 1115785"/>
            <a:gd name="connsiteX61" fmla="*/ 653143 w 1649186"/>
            <a:gd name="connsiteY61" fmla="*/ 27214 h 1115785"/>
            <a:gd name="connsiteX62" fmla="*/ 773189 w 1649186"/>
            <a:gd name="connsiteY62" fmla="*/ 69057 h 1115785"/>
            <a:gd name="connsiteX63" fmla="*/ 762000 w 1649186"/>
            <a:gd name="connsiteY63" fmla="*/ 125185 h 1115785"/>
            <a:gd name="connsiteX64" fmla="*/ 821871 w 1649186"/>
            <a:gd name="connsiteY64" fmla="*/ 130628 h 1115785"/>
            <a:gd name="connsiteX65" fmla="*/ 914400 w 1649186"/>
            <a:gd name="connsiteY65" fmla="*/ 59871 h 1115785"/>
            <a:gd name="connsiteX66" fmla="*/ 957943 w 1649186"/>
            <a:gd name="connsiteY66" fmla="*/ 59871 h 1115785"/>
            <a:gd name="connsiteX67" fmla="*/ 963386 w 1649186"/>
            <a:gd name="connsiteY67" fmla="*/ 5442 h 1115785"/>
            <a:gd name="connsiteX68" fmla="*/ 1094014 w 1649186"/>
            <a:gd name="connsiteY68" fmla="*/ 0 h 1115785"/>
            <a:gd name="connsiteX69" fmla="*/ 1148443 w 1649186"/>
            <a:gd name="connsiteY69" fmla="*/ 70757 h 1115785"/>
            <a:gd name="connsiteX70" fmla="*/ 1181100 w 1649186"/>
            <a:gd name="connsiteY70" fmla="*/ 65314 h 1115785"/>
            <a:gd name="connsiteX71" fmla="*/ 1257300 w 1649186"/>
            <a:gd name="connsiteY71" fmla="*/ 234042 h 1115785"/>
            <a:gd name="connsiteX72" fmla="*/ 1338943 w 1649186"/>
            <a:gd name="connsiteY72" fmla="*/ 293914 h 1115785"/>
            <a:gd name="connsiteX0" fmla="*/ 1338943 w 1649186"/>
            <a:gd name="connsiteY0" fmla="*/ 293914 h 1115785"/>
            <a:gd name="connsiteX1" fmla="*/ 1338943 w 1649186"/>
            <a:gd name="connsiteY1" fmla="*/ 293914 h 1115785"/>
            <a:gd name="connsiteX2" fmla="*/ 1377043 w 1649186"/>
            <a:gd name="connsiteY2" fmla="*/ 326571 h 1115785"/>
            <a:gd name="connsiteX3" fmla="*/ 1387928 w 1649186"/>
            <a:gd name="connsiteY3" fmla="*/ 342900 h 1115785"/>
            <a:gd name="connsiteX4" fmla="*/ 1398814 w 1649186"/>
            <a:gd name="connsiteY4" fmla="*/ 353785 h 1115785"/>
            <a:gd name="connsiteX5" fmla="*/ 1442357 w 1649186"/>
            <a:gd name="connsiteY5" fmla="*/ 364671 h 1115785"/>
            <a:gd name="connsiteX6" fmla="*/ 1469571 w 1649186"/>
            <a:gd name="connsiteY6" fmla="*/ 386442 h 1115785"/>
            <a:gd name="connsiteX7" fmla="*/ 1518557 w 1649186"/>
            <a:gd name="connsiteY7" fmla="*/ 375557 h 1115785"/>
            <a:gd name="connsiteX8" fmla="*/ 1496786 w 1649186"/>
            <a:gd name="connsiteY8" fmla="*/ 446314 h 1115785"/>
            <a:gd name="connsiteX9" fmla="*/ 1567543 w 1649186"/>
            <a:gd name="connsiteY9" fmla="*/ 489857 h 1115785"/>
            <a:gd name="connsiteX10" fmla="*/ 1646810 w 1649186"/>
            <a:gd name="connsiteY10" fmla="*/ 526256 h 1115785"/>
            <a:gd name="connsiteX11" fmla="*/ 1649186 w 1649186"/>
            <a:gd name="connsiteY11" fmla="*/ 609600 h 1115785"/>
            <a:gd name="connsiteX12" fmla="*/ 1529443 w 1649186"/>
            <a:gd name="connsiteY12" fmla="*/ 713014 h 1115785"/>
            <a:gd name="connsiteX13" fmla="*/ 1589314 w 1649186"/>
            <a:gd name="connsiteY13" fmla="*/ 821871 h 1115785"/>
            <a:gd name="connsiteX14" fmla="*/ 1496786 w 1649186"/>
            <a:gd name="connsiteY14" fmla="*/ 772885 h 1115785"/>
            <a:gd name="connsiteX15" fmla="*/ 1464128 w 1649186"/>
            <a:gd name="connsiteY15" fmla="*/ 718457 h 1115785"/>
            <a:gd name="connsiteX16" fmla="*/ 1366157 w 1649186"/>
            <a:gd name="connsiteY16" fmla="*/ 718457 h 1115785"/>
            <a:gd name="connsiteX17" fmla="*/ 1371600 w 1649186"/>
            <a:gd name="connsiteY17" fmla="*/ 685800 h 1115785"/>
            <a:gd name="connsiteX18" fmla="*/ 1349828 w 1649186"/>
            <a:gd name="connsiteY18" fmla="*/ 647700 h 1115785"/>
            <a:gd name="connsiteX19" fmla="*/ 1251857 w 1649186"/>
            <a:gd name="connsiteY19" fmla="*/ 745671 h 1115785"/>
            <a:gd name="connsiteX20" fmla="*/ 1208314 w 1649186"/>
            <a:gd name="connsiteY20" fmla="*/ 800100 h 1115785"/>
            <a:gd name="connsiteX21" fmla="*/ 1110343 w 1649186"/>
            <a:gd name="connsiteY21" fmla="*/ 772885 h 1115785"/>
            <a:gd name="connsiteX22" fmla="*/ 1055914 w 1649186"/>
            <a:gd name="connsiteY22" fmla="*/ 805542 h 1115785"/>
            <a:gd name="connsiteX23" fmla="*/ 957943 w 1649186"/>
            <a:gd name="connsiteY23" fmla="*/ 729342 h 1115785"/>
            <a:gd name="connsiteX24" fmla="*/ 892628 w 1649186"/>
            <a:gd name="connsiteY24" fmla="*/ 751114 h 1115785"/>
            <a:gd name="connsiteX25" fmla="*/ 870857 w 1649186"/>
            <a:gd name="connsiteY25" fmla="*/ 734785 h 1115785"/>
            <a:gd name="connsiteX26" fmla="*/ 783771 w 1649186"/>
            <a:gd name="connsiteY26" fmla="*/ 870857 h 1115785"/>
            <a:gd name="connsiteX27" fmla="*/ 723900 w 1649186"/>
            <a:gd name="connsiteY27" fmla="*/ 908957 h 1115785"/>
            <a:gd name="connsiteX28" fmla="*/ 696686 w 1649186"/>
            <a:gd name="connsiteY28" fmla="*/ 1012371 h 1115785"/>
            <a:gd name="connsiteX29" fmla="*/ 669471 w 1649186"/>
            <a:gd name="connsiteY29" fmla="*/ 1034142 h 1115785"/>
            <a:gd name="connsiteX30" fmla="*/ 669471 w 1649186"/>
            <a:gd name="connsiteY30" fmla="*/ 1099457 h 1115785"/>
            <a:gd name="connsiteX31" fmla="*/ 598714 w 1649186"/>
            <a:gd name="connsiteY31" fmla="*/ 1115785 h 1115785"/>
            <a:gd name="connsiteX32" fmla="*/ 555171 w 1649186"/>
            <a:gd name="connsiteY32" fmla="*/ 1072242 h 1115785"/>
            <a:gd name="connsiteX33" fmla="*/ 506186 w 1649186"/>
            <a:gd name="connsiteY33" fmla="*/ 1066800 h 1115785"/>
            <a:gd name="connsiteX34" fmla="*/ 462643 w 1649186"/>
            <a:gd name="connsiteY34" fmla="*/ 1023257 h 1115785"/>
            <a:gd name="connsiteX35" fmla="*/ 408214 w 1649186"/>
            <a:gd name="connsiteY35" fmla="*/ 947057 h 1115785"/>
            <a:gd name="connsiteX36" fmla="*/ 375557 w 1649186"/>
            <a:gd name="connsiteY36" fmla="*/ 947057 h 1115785"/>
            <a:gd name="connsiteX37" fmla="*/ 342900 w 1649186"/>
            <a:gd name="connsiteY37" fmla="*/ 870857 h 1115785"/>
            <a:gd name="connsiteX38" fmla="*/ 283028 w 1649186"/>
            <a:gd name="connsiteY38" fmla="*/ 805542 h 1115785"/>
            <a:gd name="connsiteX39" fmla="*/ 272143 w 1649186"/>
            <a:gd name="connsiteY39" fmla="*/ 740228 h 1115785"/>
            <a:gd name="connsiteX40" fmla="*/ 228600 w 1649186"/>
            <a:gd name="connsiteY40" fmla="*/ 723900 h 1115785"/>
            <a:gd name="connsiteX41" fmla="*/ 179614 w 1649186"/>
            <a:gd name="connsiteY41" fmla="*/ 756557 h 1115785"/>
            <a:gd name="connsiteX42" fmla="*/ 152400 w 1649186"/>
            <a:gd name="connsiteY42" fmla="*/ 723900 h 1115785"/>
            <a:gd name="connsiteX43" fmla="*/ 70757 w 1649186"/>
            <a:gd name="connsiteY43" fmla="*/ 729342 h 1115785"/>
            <a:gd name="connsiteX44" fmla="*/ 21771 w 1649186"/>
            <a:gd name="connsiteY44" fmla="*/ 669471 h 1115785"/>
            <a:gd name="connsiteX45" fmla="*/ 48986 w 1649186"/>
            <a:gd name="connsiteY45" fmla="*/ 587828 h 1115785"/>
            <a:gd name="connsiteX46" fmla="*/ 0 w 1649186"/>
            <a:gd name="connsiteY46" fmla="*/ 527957 h 1115785"/>
            <a:gd name="connsiteX47" fmla="*/ 21771 w 1649186"/>
            <a:gd name="connsiteY47" fmla="*/ 489857 h 1115785"/>
            <a:gd name="connsiteX48" fmla="*/ 54428 w 1649186"/>
            <a:gd name="connsiteY48" fmla="*/ 511628 h 1115785"/>
            <a:gd name="connsiteX49" fmla="*/ 87086 w 1649186"/>
            <a:gd name="connsiteY49" fmla="*/ 391885 h 1115785"/>
            <a:gd name="connsiteX50" fmla="*/ 65314 w 1649186"/>
            <a:gd name="connsiteY50" fmla="*/ 353785 h 1115785"/>
            <a:gd name="connsiteX51" fmla="*/ 87086 w 1649186"/>
            <a:gd name="connsiteY51" fmla="*/ 293914 h 1115785"/>
            <a:gd name="connsiteX52" fmla="*/ 174171 w 1649186"/>
            <a:gd name="connsiteY52" fmla="*/ 321128 h 1115785"/>
            <a:gd name="connsiteX53" fmla="*/ 234043 w 1649186"/>
            <a:gd name="connsiteY53" fmla="*/ 342900 h 1115785"/>
            <a:gd name="connsiteX54" fmla="*/ 314304 w 1649186"/>
            <a:gd name="connsiteY54" fmla="*/ 288471 h 1115785"/>
            <a:gd name="connsiteX55" fmla="*/ 351714 w 1649186"/>
            <a:gd name="connsiteY55" fmla="*/ 313984 h 1115785"/>
            <a:gd name="connsiteX56" fmla="*/ 364671 w 1649186"/>
            <a:gd name="connsiteY56" fmla="*/ 250371 h 1115785"/>
            <a:gd name="connsiteX57" fmla="*/ 386443 w 1649186"/>
            <a:gd name="connsiteY57" fmla="*/ 239485 h 1115785"/>
            <a:gd name="connsiteX58" fmla="*/ 342900 w 1649186"/>
            <a:gd name="connsiteY58" fmla="*/ 179614 h 1115785"/>
            <a:gd name="connsiteX59" fmla="*/ 451757 w 1649186"/>
            <a:gd name="connsiteY59" fmla="*/ 38100 h 1115785"/>
            <a:gd name="connsiteX60" fmla="*/ 571500 w 1649186"/>
            <a:gd name="connsiteY60" fmla="*/ 103414 h 1115785"/>
            <a:gd name="connsiteX61" fmla="*/ 653143 w 1649186"/>
            <a:gd name="connsiteY61" fmla="*/ 27214 h 1115785"/>
            <a:gd name="connsiteX62" fmla="*/ 773189 w 1649186"/>
            <a:gd name="connsiteY62" fmla="*/ 69057 h 1115785"/>
            <a:gd name="connsiteX63" fmla="*/ 762000 w 1649186"/>
            <a:gd name="connsiteY63" fmla="*/ 125185 h 1115785"/>
            <a:gd name="connsiteX64" fmla="*/ 821871 w 1649186"/>
            <a:gd name="connsiteY64" fmla="*/ 130628 h 1115785"/>
            <a:gd name="connsiteX65" fmla="*/ 914400 w 1649186"/>
            <a:gd name="connsiteY65" fmla="*/ 59871 h 1115785"/>
            <a:gd name="connsiteX66" fmla="*/ 957943 w 1649186"/>
            <a:gd name="connsiteY66" fmla="*/ 59871 h 1115785"/>
            <a:gd name="connsiteX67" fmla="*/ 963386 w 1649186"/>
            <a:gd name="connsiteY67" fmla="*/ 5442 h 1115785"/>
            <a:gd name="connsiteX68" fmla="*/ 1094014 w 1649186"/>
            <a:gd name="connsiteY68" fmla="*/ 0 h 1115785"/>
            <a:gd name="connsiteX69" fmla="*/ 1148443 w 1649186"/>
            <a:gd name="connsiteY69" fmla="*/ 70757 h 1115785"/>
            <a:gd name="connsiteX70" fmla="*/ 1181100 w 1649186"/>
            <a:gd name="connsiteY70" fmla="*/ 65314 h 1115785"/>
            <a:gd name="connsiteX71" fmla="*/ 1257300 w 1649186"/>
            <a:gd name="connsiteY71" fmla="*/ 217373 h 1115785"/>
            <a:gd name="connsiteX72" fmla="*/ 1338943 w 1649186"/>
            <a:gd name="connsiteY72" fmla="*/ 293914 h 11157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1649186" h="1115785">
              <a:moveTo>
                <a:pt x="1338943" y="293914"/>
              </a:moveTo>
              <a:lnTo>
                <a:pt x="1338943" y="293914"/>
              </a:lnTo>
              <a:cubicBezTo>
                <a:pt x="1351643" y="304800"/>
                <a:pt x="1365215" y="314743"/>
                <a:pt x="1377043" y="326571"/>
              </a:cubicBezTo>
              <a:cubicBezTo>
                <a:pt x="1381668" y="331197"/>
                <a:pt x="1383842" y="337792"/>
                <a:pt x="1387928" y="342900"/>
              </a:cubicBezTo>
              <a:cubicBezTo>
                <a:pt x="1391134" y="346907"/>
                <a:pt x="1395185" y="350157"/>
                <a:pt x="1398814" y="353785"/>
              </a:cubicBezTo>
              <a:lnTo>
                <a:pt x="1442357" y="364671"/>
              </a:lnTo>
              <a:lnTo>
                <a:pt x="1469571" y="386442"/>
              </a:lnTo>
              <a:lnTo>
                <a:pt x="1518557" y="375557"/>
              </a:lnTo>
              <a:lnTo>
                <a:pt x="1496786" y="446314"/>
              </a:lnTo>
              <a:lnTo>
                <a:pt x="1567543" y="489857"/>
              </a:lnTo>
              <a:lnTo>
                <a:pt x="1646810" y="526256"/>
              </a:lnTo>
              <a:lnTo>
                <a:pt x="1649186" y="609600"/>
              </a:lnTo>
              <a:lnTo>
                <a:pt x="1529443" y="713014"/>
              </a:lnTo>
              <a:lnTo>
                <a:pt x="1589314" y="821871"/>
              </a:lnTo>
              <a:lnTo>
                <a:pt x="1496786" y="772885"/>
              </a:lnTo>
              <a:lnTo>
                <a:pt x="1464128" y="718457"/>
              </a:lnTo>
              <a:lnTo>
                <a:pt x="1366157" y="718457"/>
              </a:lnTo>
              <a:lnTo>
                <a:pt x="1371600" y="685800"/>
              </a:lnTo>
              <a:lnTo>
                <a:pt x="1349828" y="647700"/>
              </a:lnTo>
              <a:lnTo>
                <a:pt x="1251857" y="745671"/>
              </a:lnTo>
              <a:lnTo>
                <a:pt x="1208314" y="800100"/>
              </a:lnTo>
              <a:lnTo>
                <a:pt x="1110343" y="772885"/>
              </a:lnTo>
              <a:lnTo>
                <a:pt x="1055914" y="805542"/>
              </a:lnTo>
              <a:lnTo>
                <a:pt x="957943" y="729342"/>
              </a:lnTo>
              <a:lnTo>
                <a:pt x="892628" y="751114"/>
              </a:lnTo>
              <a:lnTo>
                <a:pt x="870857" y="734785"/>
              </a:lnTo>
              <a:lnTo>
                <a:pt x="783771" y="870857"/>
              </a:lnTo>
              <a:lnTo>
                <a:pt x="723900" y="908957"/>
              </a:lnTo>
              <a:lnTo>
                <a:pt x="696686" y="1012371"/>
              </a:lnTo>
              <a:lnTo>
                <a:pt x="669471" y="1034142"/>
              </a:lnTo>
              <a:lnTo>
                <a:pt x="669471" y="1099457"/>
              </a:lnTo>
              <a:lnTo>
                <a:pt x="598714" y="1115785"/>
              </a:lnTo>
              <a:lnTo>
                <a:pt x="555171" y="1072242"/>
              </a:lnTo>
              <a:lnTo>
                <a:pt x="506186" y="1066800"/>
              </a:lnTo>
              <a:lnTo>
                <a:pt x="462643" y="1023257"/>
              </a:lnTo>
              <a:lnTo>
                <a:pt x="408214" y="947057"/>
              </a:lnTo>
              <a:lnTo>
                <a:pt x="375557" y="947057"/>
              </a:lnTo>
              <a:lnTo>
                <a:pt x="342900" y="870857"/>
              </a:lnTo>
              <a:lnTo>
                <a:pt x="283028" y="805542"/>
              </a:lnTo>
              <a:lnTo>
                <a:pt x="272143" y="740228"/>
              </a:lnTo>
              <a:lnTo>
                <a:pt x="228600" y="723900"/>
              </a:lnTo>
              <a:lnTo>
                <a:pt x="179614" y="756557"/>
              </a:lnTo>
              <a:lnTo>
                <a:pt x="152400" y="723900"/>
              </a:lnTo>
              <a:lnTo>
                <a:pt x="70757" y="729342"/>
              </a:lnTo>
              <a:lnTo>
                <a:pt x="21771" y="669471"/>
              </a:lnTo>
              <a:lnTo>
                <a:pt x="48986" y="587828"/>
              </a:lnTo>
              <a:lnTo>
                <a:pt x="0" y="527957"/>
              </a:lnTo>
              <a:lnTo>
                <a:pt x="21771" y="489857"/>
              </a:lnTo>
              <a:lnTo>
                <a:pt x="54428" y="511628"/>
              </a:lnTo>
              <a:lnTo>
                <a:pt x="87086" y="391885"/>
              </a:lnTo>
              <a:lnTo>
                <a:pt x="65314" y="353785"/>
              </a:lnTo>
              <a:lnTo>
                <a:pt x="87086" y="293914"/>
              </a:lnTo>
              <a:lnTo>
                <a:pt x="174171" y="321128"/>
              </a:lnTo>
              <a:lnTo>
                <a:pt x="234043" y="342900"/>
              </a:lnTo>
              <a:lnTo>
                <a:pt x="314304" y="288471"/>
              </a:lnTo>
              <a:lnTo>
                <a:pt x="351714" y="313984"/>
              </a:lnTo>
              <a:lnTo>
                <a:pt x="364671" y="250371"/>
              </a:lnTo>
              <a:lnTo>
                <a:pt x="386443" y="239485"/>
              </a:lnTo>
              <a:lnTo>
                <a:pt x="342900" y="179614"/>
              </a:lnTo>
              <a:lnTo>
                <a:pt x="451757" y="38100"/>
              </a:lnTo>
              <a:lnTo>
                <a:pt x="571500" y="103414"/>
              </a:lnTo>
              <a:lnTo>
                <a:pt x="653143" y="27214"/>
              </a:lnTo>
              <a:lnTo>
                <a:pt x="773189" y="69057"/>
              </a:lnTo>
              <a:lnTo>
                <a:pt x="762000" y="125185"/>
              </a:lnTo>
              <a:lnTo>
                <a:pt x="821871" y="130628"/>
              </a:lnTo>
              <a:lnTo>
                <a:pt x="914400" y="59871"/>
              </a:lnTo>
              <a:lnTo>
                <a:pt x="957943" y="59871"/>
              </a:lnTo>
              <a:lnTo>
                <a:pt x="963386" y="5442"/>
              </a:lnTo>
              <a:lnTo>
                <a:pt x="1094014" y="0"/>
              </a:lnTo>
              <a:lnTo>
                <a:pt x="1148443" y="70757"/>
              </a:lnTo>
              <a:lnTo>
                <a:pt x="1181100" y="65314"/>
              </a:lnTo>
              <a:lnTo>
                <a:pt x="1257300" y="217373"/>
              </a:lnTo>
              <a:lnTo>
                <a:pt x="1338943" y="293914"/>
              </a:lnTo>
              <a:close/>
            </a:path>
          </a:pathLst>
        </a:custGeom>
        <a:solidFill>
          <a:srgbClr val="8EA9DB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7</xdr:col>
      <xdr:colOff>54969</xdr:colOff>
      <xdr:row>10</xdr:row>
      <xdr:rowOff>41967</xdr:rowOff>
    </xdr:from>
    <xdr:to>
      <xdr:col>8</xdr:col>
      <xdr:colOff>197877</xdr:colOff>
      <xdr:row>12</xdr:row>
      <xdr:rowOff>111384</xdr:rowOff>
    </xdr:to>
    <xdr:sp macro="" textlink="">
      <xdr:nvSpPr>
        <xdr:cNvPr id="12" name="Požeško_slavonska_županija"/>
        <xdr:cNvSpPr/>
      </xdr:nvSpPr>
      <xdr:spPr>
        <a:xfrm>
          <a:off x="4798419" y="2204142"/>
          <a:ext cx="952533" cy="450417"/>
        </a:xfrm>
        <a:custGeom>
          <a:avLst/>
          <a:gdLst>
            <a:gd name="connsiteX0" fmla="*/ 304800 w 1398814"/>
            <a:gd name="connsiteY0" fmla="*/ 386443 h 664029"/>
            <a:gd name="connsiteX1" fmla="*/ 364671 w 1398814"/>
            <a:gd name="connsiteY1" fmla="*/ 326571 h 664029"/>
            <a:gd name="connsiteX2" fmla="*/ 429986 w 1398814"/>
            <a:gd name="connsiteY2" fmla="*/ 326571 h 664029"/>
            <a:gd name="connsiteX3" fmla="*/ 484414 w 1398814"/>
            <a:gd name="connsiteY3" fmla="*/ 370114 h 664029"/>
            <a:gd name="connsiteX4" fmla="*/ 517071 w 1398814"/>
            <a:gd name="connsiteY4" fmla="*/ 326571 h 664029"/>
            <a:gd name="connsiteX5" fmla="*/ 549728 w 1398814"/>
            <a:gd name="connsiteY5" fmla="*/ 337457 h 664029"/>
            <a:gd name="connsiteX6" fmla="*/ 587828 w 1398814"/>
            <a:gd name="connsiteY6" fmla="*/ 332014 h 664029"/>
            <a:gd name="connsiteX7" fmla="*/ 658586 w 1398814"/>
            <a:gd name="connsiteY7" fmla="*/ 397329 h 664029"/>
            <a:gd name="connsiteX8" fmla="*/ 664028 w 1398814"/>
            <a:gd name="connsiteY8" fmla="*/ 424543 h 664029"/>
            <a:gd name="connsiteX9" fmla="*/ 800100 w 1398814"/>
            <a:gd name="connsiteY9" fmla="*/ 506186 h 664029"/>
            <a:gd name="connsiteX10" fmla="*/ 843643 w 1398814"/>
            <a:gd name="connsiteY10" fmla="*/ 517071 h 664029"/>
            <a:gd name="connsiteX11" fmla="*/ 903514 w 1398814"/>
            <a:gd name="connsiteY11" fmla="*/ 511629 h 664029"/>
            <a:gd name="connsiteX12" fmla="*/ 925286 w 1398814"/>
            <a:gd name="connsiteY12" fmla="*/ 560614 h 664029"/>
            <a:gd name="connsiteX13" fmla="*/ 919843 w 1398814"/>
            <a:gd name="connsiteY13" fmla="*/ 631371 h 664029"/>
            <a:gd name="connsiteX14" fmla="*/ 968828 w 1398814"/>
            <a:gd name="connsiteY14" fmla="*/ 664029 h 664029"/>
            <a:gd name="connsiteX15" fmla="*/ 1023257 w 1398814"/>
            <a:gd name="connsiteY15" fmla="*/ 615043 h 664029"/>
            <a:gd name="connsiteX16" fmla="*/ 1023257 w 1398814"/>
            <a:gd name="connsiteY16" fmla="*/ 593271 h 664029"/>
            <a:gd name="connsiteX17" fmla="*/ 1066800 w 1398814"/>
            <a:gd name="connsiteY17" fmla="*/ 593271 h 664029"/>
            <a:gd name="connsiteX18" fmla="*/ 1159328 w 1398814"/>
            <a:gd name="connsiteY18" fmla="*/ 489857 h 664029"/>
            <a:gd name="connsiteX19" fmla="*/ 1181100 w 1398814"/>
            <a:gd name="connsiteY19" fmla="*/ 468086 h 664029"/>
            <a:gd name="connsiteX20" fmla="*/ 1268186 w 1398814"/>
            <a:gd name="connsiteY20" fmla="*/ 495300 h 664029"/>
            <a:gd name="connsiteX21" fmla="*/ 1360714 w 1398814"/>
            <a:gd name="connsiteY21" fmla="*/ 511629 h 664029"/>
            <a:gd name="connsiteX22" fmla="*/ 1398814 w 1398814"/>
            <a:gd name="connsiteY22" fmla="*/ 446314 h 664029"/>
            <a:gd name="connsiteX23" fmla="*/ 1366157 w 1398814"/>
            <a:gd name="connsiteY23" fmla="*/ 364671 h 664029"/>
            <a:gd name="connsiteX24" fmla="*/ 1382486 w 1398814"/>
            <a:gd name="connsiteY24" fmla="*/ 315686 h 664029"/>
            <a:gd name="connsiteX25" fmla="*/ 1360714 w 1398814"/>
            <a:gd name="connsiteY25" fmla="*/ 266700 h 664029"/>
            <a:gd name="connsiteX26" fmla="*/ 1284514 w 1398814"/>
            <a:gd name="connsiteY26" fmla="*/ 283029 h 664029"/>
            <a:gd name="connsiteX27" fmla="*/ 1164771 w 1398814"/>
            <a:gd name="connsiteY27" fmla="*/ 179614 h 664029"/>
            <a:gd name="connsiteX28" fmla="*/ 1126671 w 1398814"/>
            <a:gd name="connsiteY28" fmla="*/ 179614 h 664029"/>
            <a:gd name="connsiteX29" fmla="*/ 1094014 w 1398814"/>
            <a:gd name="connsiteY29" fmla="*/ 136071 h 664029"/>
            <a:gd name="connsiteX30" fmla="*/ 1028700 w 1398814"/>
            <a:gd name="connsiteY30" fmla="*/ 174171 h 664029"/>
            <a:gd name="connsiteX31" fmla="*/ 990600 w 1398814"/>
            <a:gd name="connsiteY31" fmla="*/ 125186 h 664029"/>
            <a:gd name="connsiteX32" fmla="*/ 903514 w 1398814"/>
            <a:gd name="connsiteY32" fmla="*/ 119743 h 664029"/>
            <a:gd name="connsiteX33" fmla="*/ 870857 w 1398814"/>
            <a:gd name="connsiteY33" fmla="*/ 92529 h 664029"/>
            <a:gd name="connsiteX34" fmla="*/ 821871 w 1398814"/>
            <a:gd name="connsiteY34" fmla="*/ 103414 h 664029"/>
            <a:gd name="connsiteX35" fmla="*/ 740228 w 1398814"/>
            <a:gd name="connsiteY35" fmla="*/ 0 h 664029"/>
            <a:gd name="connsiteX36" fmla="*/ 664028 w 1398814"/>
            <a:gd name="connsiteY36" fmla="*/ 21771 h 664029"/>
            <a:gd name="connsiteX37" fmla="*/ 609600 w 1398814"/>
            <a:gd name="connsiteY37" fmla="*/ 16329 h 664029"/>
            <a:gd name="connsiteX38" fmla="*/ 571500 w 1398814"/>
            <a:gd name="connsiteY38" fmla="*/ 103414 h 664029"/>
            <a:gd name="connsiteX39" fmla="*/ 500743 w 1398814"/>
            <a:gd name="connsiteY39" fmla="*/ 65314 h 664029"/>
            <a:gd name="connsiteX40" fmla="*/ 359228 w 1398814"/>
            <a:gd name="connsiteY40" fmla="*/ 114300 h 664029"/>
            <a:gd name="connsiteX41" fmla="*/ 315686 w 1398814"/>
            <a:gd name="connsiteY41" fmla="*/ 65314 h 664029"/>
            <a:gd name="connsiteX42" fmla="*/ 272143 w 1398814"/>
            <a:gd name="connsiteY42" fmla="*/ 103414 h 664029"/>
            <a:gd name="connsiteX43" fmla="*/ 250371 w 1398814"/>
            <a:gd name="connsiteY43" fmla="*/ 81643 h 664029"/>
            <a:gd name="connsiteX44" fmla="*/ 179614 w 1398814"/>
            <a:gd name="connsiteY44" fmla="*/ 125186 h 664029"/>
            <a:gd name="connsiteX45" fmla="*/ 152400 w 1398814"/>
            <a:gd name="connsiteY45" fmla="*/ 92529 h 664029"/>
            <a:gd name="connsiteX46" fmla="*/ 87086 w 1398814"/>
            <a:gd name="connsiteY46" fmla="*/ 119743 h 664029"/>
            <a:gd name="connsiteX47" fmla="*/ 38100 w 1398814"/>
            <a:gd name="connsiteY47" fmla="*/ 87086 h 664029"/>
            <a:gd name="connsiteX48" fmla="*/ 0 w 1398814"/>
            <a:gd name="connsiteY48" fmla="*/ 152400 h 664029"/>
            <a:gd name="connsiteX49" fmla="*/ 70757 w 1398814"/>
            <a:gd name="connsiteY49" fmla="*/ 223157 h 664029"/>
            <a:gd name="connsiteX50" fmla="*/ 141514 w 1398814"/>
            <a:gd name="connsiteY50" fmla="*/ 255814 h 664029"/>
            <a:gd name="connsiteX51" fmla="*/ 185057 w 1398814"/>
            <a:gd name="connsiteY51" fmla="*/ 234043 h 664029"/>
            <a:gd name="connsiteX52" fmla="*/ 163286 w 1398814"/>
            <a:gd name="connsiteY52" fmla="*/ 310243 h 664029"/>
            <a:gd name="connsiteX53" fmla="*/ 304800 w 1398814"/>
            <a:gd name="connsiteY53" fmla="*/ 386443 h 6640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</a:cxnLst>
          <a:rect l="l" t="t" r="r" b="b"/>
          <a:pathLst>
            <a:path w="1398814" h="664029">
              <a:moveTo>
                <a:pt x="304800" y="386443"/>
              </a:moveTo>
              <a:lnTo>
                <a:pt x="364671" y="326571"/>
              </a:lnTo>
              <a:lnTo>
                <a:pt x="429986" y="326571"/>
              </a:lnTo>
              <a:lnTo>
                <a:pt x="484414" y="370114"/>
              </a:lnTo>
              <a:lnTo>
                <a:pt x="517071" y="326571"/>
              </a:lnTo>
              <a:lnTo>
                <a:pt x="549728" y="337457"/>
              </a:lnTo>
              <a:lnTo>
                <a:pt x="587828" y="332014"/>
              </a:lnTo>
              <a:lnTo>
                <a:pt x="658586" y="397329"/>
              </a:lnTo>
              <a:lnTo>
                <a:pt x="664028" y="424543"/>
              </a:lnTo>
              <a:lnTo>
                <a:pt x="800100" y="506186"/>
              </a:lnTo>
              <a:lnTo>
                <a:pt x="843643" y="517071"/>
              </a:lnTo>
              <a:lnTo>
                <a:pt x="903514" y="511629"/>
              </a:lnTo>
              <a:lnTo>
                <a:pt x="925286" y="560614"/>
              </a:lnTo>
              <a:lnTo>
                <a:pt x="919843" y="631371"/>
              </a:lnTo>
              <a:lnTo>
                <a:pt x="968828" y="664029"/>
              </a:lnTo>
              <a:lnTo>
                <a:pt x="1023257" y="615043"/>
              </a:lnTo>
              <a:lnTo>
                <a:pt x="1023257" y="593271"/>
              </a:lnTo>
              <a:lnTo>
                <a:pt x="1066800" y="593271"/>
              </a:lnTo>
              <a:lnTo>
                <a:pt x="1159328" y="489857"/>
              </a:lnTo>
              <a:lnTo>
                <a:pt x="1181100" y="468086"/>
              </a:lnTo>
              <a:lnTo>
                <a:pt x="1268186" y="495300"/>
              </a:lnTo>
              <a:lnTo>
                <a:pt x="1360714" y="511629"/>
              </a:lnTo>
              <a:lnTo>
                <a:pt x="1398814" y="446314"/>
              </a:lnTo>
              <a:lnTo>
                <a:pt x="1366157" y="364671"/>
              </a:lnTo>
              <a:lnTo>
                <a:pt x="1382486" y="315686"/>
              </a:lnTo>
              <a:lnTo>
                <a:pt x="1360714" y="266700"/>
              </a:lnTo>
              <a:lnTo>
                <a:pt x="1284514" y="283029"/>
              </a:lnTo>
              <a:lnTo>
                <a:pt x="1164771" y="179614"/>
              </a:lnTo>
              <a:lnTo>
                <a:pt x="1126671" y="179614"/>
              </a:lnTo>
              <a:lnTo>
                <a:pt x="1094014" y="136071"/>
              </a:lnTo>
              <a:lnTo>
                <a:pt x="1028700" y="174171"/>
              </a:lnTo>
              <a:lnTo>
                <a:pt x="990600" y="125186"/>
              </a:lnTo>
              <a:lnTo>
                <a:pt x="903514" y="119743"/>
              </a:lnTo>
              <a:lnTo>
                <a:pt x="870857" y="92529"/>
              </a:lnTo>
              <a:lnTo>
                <a:pt x="821871" y="103414"/>
              </a:lnTo>
              <a:lnTo>
                <a:pt x="740228" y="0"/>
              </a:lnTo>
              <a:lnTo>
                <a:pt x="664028" y="21771"/>
              </a:lnTo>
              <a:lnTo>
                <a:pt x="609600" y="16329"/>
              </a:lnTo>
              <a:lnTo>
                <a:pt x="571500" y="103414"/>
              </a:lnTo>
              <a:lnTo>
                <a:pt x="500743" y="65314"/>
              </a:lnTo>
              <a:lnTo>
                <a:pt x="359228" y="114300"/>
              </a:lnTo>
              <a:lnTo>
                <a:pt x="315686" y="65314"/>
              </a:lnTo>
              <a:lnTo>
                <a:pt x="272143" y="103414"/>
              </a:lnTo>
              <a:lnTo>
                <a:pt x="250371" y="81643"/>
              </a:lnTo>
              <a:lnTo>
                <a:pt x="179614" y="125186"/>
              </a:lnTo>
              <a:lnTo>
                <a:pt x="152400" y="92529"/>
              </a:lnTo>
              <a:lnTo>
                <a:pt x="87086" y="119743"/>
              </a:lnTo>
              <a:lnTo>
                <a:pt x="38100" y="87086"/>
              </a:lnTo>
              <a:lnTo>
                <a:pt x="0" y="152400"/>
              </a:lnTo>
              <a:lnTo>
                <a:pt x="70757" y="223157"/>
              </a:lnTo>
              <a:lnTo>
                <a:pt x="141514" y="255814"/>
              </a:lnTo>
              <a:lnTo>
                <a:pt x="185057" y="234043"/>
              </a:lnTo>
              <a:lnTo>
                <a:pt x="163286" y="310243"/>
              </a:lnTo>
              <a:lnTo>
                <a:pt x="304800" y="386443"/>
              </a:lnTo>
              <a:close/>
            </a:path>
          </a:pathLst>
        </a:custGeom>
        <a:solidFill>
          <a:srgbClr val="D9E1F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7</xdr:col>
      <xdr:colOff>189632</xdr:colOff>
      <xdr:row>11</xdr:row>
      <xdr:rowOff>71137</xdr:rowOff>
    </xdr:from>
    <xdr:to>
      <xdr:col>9</xdr:col>
      <xdr:colOff>358082</xdr:colOff>
      <xdr:row>13</xdr:row>
      <xdr:rowOff>80375</xdr:rowOff>
    </xdr:to>
    <xdr:sp macro="" textlink="">
      <xdr:nvSpPr>
        <xdr:cNvPr id="13" name="Brodsko_posavska_županija"/>
        <xdr:cNvSpPr/>
      </xdr:nvSpPr>
      <xdr:spPr>
        <a:xfrm>
          <a:off x="4933082" y="2423812"/>
          <a:ext cx="1197150" cy="390238"/>
        </a:xfrm>
        <a:custGeom>
          <a:avLst/>
          <a:gdLst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2590 w 1760220"/>
            <a:gd name="connsiteY12" fmla="*/ 506730 h 575310"/>
            <a:gd name="connsiteX13" fmla="*/ 1714500 w 1760220"/>
            <a:gd name="connsiteY13" fmla="*/ 560070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8110 w 1760220"/>
            <a:gd name="connsiteY48" fmla="*/ 60960 h 575310"/>
            <a:gd name="connsiteX49" fmla="*/ 179070 w 1760220"/>
            <a:gd name="connsiteY49" fmla="*/ 0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2590 w 1760220"/>
            <a:gd name="connsiteY12" fmla="*/ 506730 h 575310"/>
            <a:gd name="connsiteX13" fmla="*/ 1714500 w 1760220"/>
            <a:gd name="connsiteY13" fmla="*/ 560070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79070 w 1760220"/>
            <a:gd name="connsiteY49" fmla="*/ 0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2590 w 1760220"/>
            <a:gd name="connsiteY12" fmla="*/ 506730 h 575310"/>
            <a:gd name="connsiteX13" fmla="*/ 1714500 w 1760220"/>
            <a:gd name="connsiteY13" fmla="*/ 560070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79070 w 1760220"/>
            <a:gd name="connsiteY49" fmla="*/ 4762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2590 w 1760220"/>
            <a:gd name="connsiteY12" fmla="*/ 506730 h 575310"/>
            <a:gd name="connsiteX13" fmla="*/ 1714500 w 1760220"/>
            <a:gd name="connsiteY13" fmla="*/ 560070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62402 w 1760220"/>
            <a:gd name="connsiteY49" fmla="*/ 4762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2590 w 1760220"/>
            <a:gd name="connsiteY12" fmla="*/ 506730 h 575310"/>
            <a:gd name="connsiteX13" fmla="*/ 1709739 w 1760220"/>
            <a:gd name="connsiteY13" fmla="*/ 548164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62402 w 1760220"/>
            <a:gd name="connsiteY49" fmla="*/ 4762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80210 w 1760220"/>
            <a:gd name="connsiteY11" fmla="*/ 468630 h 575310"/>
            <a:gd name="connsiteX12" fmla="*/ 1677353 w 1760220"/>
            <a:gd name="connsiteY12" fmla="*/ 497205 h 575310"/>
            <a:gd name="connsiteX13" fmla="*/ 1709739 w 1760220"/>
            <a:gd name="connsiteY13" fmla="*/ 548164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62402 w 1760220"/>
            <a:gd name="connsiteY49" fmla="*/ 4762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708785 w 1760220"/>
            <a:gd name="connsiteY11" fmla="*/ 418624 h 575310"/>
            <a:gd name="connsiteX12" fmla="*/ 1677353 w 1760220"/>
            <a:gd name="connsiteY12" fmla="*/ 497205 h 575310"/>
            <a:gd name="connsiteX13" fmla="*/ 1709739 w 1760220"/>
            <a:gd name="connsiteY13" fmla="*/ 548164 h 575310"/>
            <a:gd name="connsiteX14" fmla="*/ 1642110 w 1760220"/>
            <a:gd name="connsiteY14" fmla="*/ 571500 h 575310"/>
            <a:gd name="connsiteX15" fmla="*/ 1581150 w 1760220"/>
            <a:gd name="connsiteY15" fmla="*/ 491490 h 575310"/>
            <a:gd name="connsiteX16" fmla="*/ 1489710 w 1760220"/>
            <a:gd name="connsiteY16" fmla="*/ 502920 h 575310"/>
            <a:gd name="connsiteX17" fmla="*/ 1428750 w 1760220"/>
            <a:gd name="connsiteY17" fmla="*/ 472440 h 575310"/>
            <a:gd name="connsiteX18" fmla="*/ 1379220 w 1760220"/>
            <a:gd name="connsiteY18" fmla="*/ 422910 h 575310"/>
            <a:gd name="connsiteX19" fmla="*/ 1310640 w 1760220"/>
            <a:gd name="connsiteY19" fmla="*/ 457200 h 575310"/>
            <a:gd name="connsiteX20" fmla="*/ 1310640 w 1760220"/>
            <a:gd name="connsiteY20" fmla="*/ 514350 h 575310"/>
            <a:gd name="connsiteX21" fmla="*/ 1211580 w 1760220"/>
            <a:gd name="connsiteY21" fmla="*/ 518160 h 575310"/>
            <a:gd name="connsiteX22" fmla="*/ 1150620 w 1760220"/>
            <a:gd name="connsiteY22" fmla="*/ 495300 h 575310"/>
            <a:gd name="connsiteX23" fmla="*/ 1154430 w 1760220"/>
            <a:gd name="connsiteY23" fmla="*/ 422910 h 575310"/>
            <a:gd name="connsiteX24" fmla="*/ 1120140 w 1760220"/>
            <a:gd name="connsiteY24" fmla="*/ 411480 h 575310"/>
            <a:gd name="connsiteX25" fmla="*/ 1089660 w 1760220"/>
            <a:gd name="connsiteY25" fmla="*/ 438150 h 575310"/>
            <a:gd name="connsiteX26" fmla="*/ 1074420 w 1760220"/>
            <a:gd name="connsiteY26" fmla="*/ 396240 h 575310"/>
            <a:gd name="connsiteX27" fmla="*/ 1013460 w 1760220"/>
            <a:gd name="connsiteY27" fmla="*/ 476250 h 575310"/>
            <a:gd name="connsiteX28" fmla="*/ 971550 w 1760220"/>
            <a:gd name="connsiteY28" fmla="*/ 483870 h 575310"/>
            <a:gd name="connsiteX29" fmla="*/ 990600 w 1760220"/>
            <a:gd name="connsiteY29" fmla="*/ 529590 h 575310"/>
            <a:gd name="connsiteX30" fmla="*/ 902970 w 1760220"/>
            <a:gd name="connsiteY30" fmla="*/ 575310 h 575310"/>
            <a:gd name="connsiteX31" fmla="*/ 803910 w 1760220"/>
            <a:gd name="connsiteY31" fmla="*/ 518160 h 575310"/>
            <a:gd name="connsiteX32" fmla="*/ 689610 w 1760220"/>
            <a:gd name="connsiteY32" fmla="*/ 445770 h 575310"/>
            <a:gd name="connsiteX33" fmla="*/ 598170 w 1760220"/>
            <a:gd name="connsiteY33" fmla="*/ 476250 h 575310"/>
            <a:gd name="connsiteX34" fmla="*/ 541020 w 1760220"/>
            <a:gd name="connsiteY34" fmla="*/ 445770 h 575310"/>
            <a:gd name="connsiteX35" fmla="*/ 510540 w 1760220"/>
            <a:gd name="connsiteY35" fmla="*/ 495300 h 575310"/>
            <a:gd name="connsiteX36" fmla="*/ 476250 w 1760220"/>
            <a:gd name="connsiteY36" fmla="*/ 449580 h 575310"/>
            <a:gd name="connsiteX37" fmla="*/ 441960 w 1760220"/>
            <a:gd name="connsiteY37" fmla="*/ 438150 h 575310"/>
            <a:gd name="connsiteX38" fmla="*/ 430530 w 1760220"/>
            <a:gd name="connsiteY38" fmla="*/ 400050 h 575310"/>
            <a:gd name="connsiteX39" fmla="*/ 358140 w 1760220"/>
            <a:gd name="connsiteY39" fmla="*/ 449580 h 575310"/>
            <a:gd name="connsiteX40" fmla="*/ 289560 w 1760220"/>
            <a:gd name="connsiteY40" fmla="*/ 415290 h 575310"/>
            <a:gd name="connsiteX41" fmla="*/ 274320 w 1760220"/>
            <a:gd name="connsiteY41" fmla="*/ 377190 h 575310"/>
            <a:gd name="connsiteX42" fmla="*/ 205740 w 1760220"/>
            <a:gd name="connsiteY42" fmla="*/ 350520 h 575310"/>
            <a:gd name="connsiteX43" fmla="*/ 179070 w 1760220"/>
            <a:gd name="connsiteY43" fmla="*/ 415290 h 575310"/>
            <a:gd name="connsiteX44" fmla="*/ 72390 w 1760220"/>
            <a:gd name="connsiteY44" fmla="*/ 407670 h 575310"/>
            <a:gd name="connsiteX45" fmla="*/ 57150 w 1760220"/>
            <a:gd name="connsiteY45" fmla="*/ 365760 h 575310"/>
            <a:gd name="connsiteX46" fmla="*/ 0 w 1760220"/>
            <a:gd name="connsiteY46" fmla="*/ 247650 h 575310"/>
            <a:gd name="connsiteX47" fmla="*/ 118110 w 1760220"/>
            <a:gd name="connsiteY47" fmla="*/ 148590 h 575310"/>
            <a:gd name="connsiteX48" fmla="*/ 113347 w 1760220"/>
            <a:gd name="connsiteY48" fmla="*/ 63342 h 575310"/>
            <a:gd name="connsiteX49" fmla="*/ 162402 w 1760220"/>
            <a:gd name="connsiteY49" fmla="*/ 4762 h 575310"/>
            <a:gd name="connsiteX50" fmla="*/ 247650 w 1760220"/>
            <a:gd name="connsiteY50" fmla="*/ 0 h 575310"/>
            <a:gd name="connsiteX51" fmla="*/ 293370 w 1760220"/>
            <a:gd name="connsiteY51" fmla="*/ 41910 h 575310"/>
            <a:gd name="connsiteX52" fmla="*/ 316230 w 1760220"/>
            <a:gd name="connsiteY52" fmla="*/ 0 h 575310"/>
            <a:gd name="connsiteX53" fmla="*/ 361950 w 1760220"/>
            <a:gd name="connsiteY53" fmla="*/ 11430 h 575310"/>
            <a:gd name="connsiteX54" fmla="*/ 400050 w 1760220"/>
            <a:gd name="connsiteY54" fmla="*/ 11430 h 575310"/>
            <a:gd name="connsiteX55" fmla="*/ 468630 w 1760220"/>
            <a:gd name="connsiteY55" fmla="*/ 76200 h 575310"/>
            <a:gd name="connsiteX56" fmla="*/ 468630 w 1760220"/>
            <a:gd name="connsiteY56" fmla="*/ 106680 h 575310"/>
            <a:gd name="connsiteX57" fmla="*/ 628650 w 1760220"/>
            <a:gd name="connsiteY57" fmla="*/ 194310 h 575310"/>
            <a:gd name="connsiteX58" fmla="*/ 708660 w 1760220"/>
            <a:gd name="connsiteY58" fmla="*/ 179070 h 575310"/>
            <a:gd name="connsiteX59" fmla="*/ 735330 w 1760220"/>
            <a:gd name="connsiteY59" fmla="*/ 247650 h 575310"/>
            <a:gd name="connsiteX60" fmla="*/ 723900 w 1760220"/>
            <a:gd name="connsiteY60" fmla="*/ 316230 h 575310"/>
            <a:gd name="connsiteX61" fmla="*/ 777240 w 1760220"/>
            <a:gd name="connsiteY61" fmla="*/ 339090 h 575310"/>
            <a:gd name="connsiteX62" fmla="*/ 826770 w 1760220"/>
            <a:gd name="connsiteY62" fmla="*/ 285750 h 575310"/>
            <a:gd name="connsiteX63" fmla="*/ 830580 w 1760220"/>
            <a:gd name="connsiteY63" fmla="*/ 270510 h 575310"/>
            <a:gd name="connsiteX64" fmla="*/ 876300 w 1760220"/>
            <a:gd name="connsiteY64" fmla="*/ 270510 h 575310"/>
            <a:gd name="connsiteX65" fmla="*/ 979170 w 1760220"/>
            <a:gd name="connsiteY65" fmla="*/ 140970 h 575310"/>
            <a:gd name="connsiteX66" fmla="*/ 1165860 w 1760220"/>
            <a:gd name="connsiteY66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77353 w 1760220"/>
            <a:gd name="connsiteY11" fmla="*/ 497205 h 575310"/>
            <a:gd name="connsiteX12" fmla="*/ 1709739 w 1760220"/>
            <a:gd name="connsiteY12" fmla="*/ 548164 h 575310"/>
            <a:gd name="connsiteX13" fmla="*/ 1642110 w 1760220"/>
            <a:gd name="connsiteY13" fmla="*/ 571500 h 575310"/>
            <a:gd name="connsiteX14" fmla="*/ 1581150 w 1760220"/>
            <a:gd name="connsiteY14" fmla="*/ 491490 h 575310"/>
            <a:gd name="connsiteX15" fmla="*/ 1489710 w 1760220"/>
            <a:gd name="connsiteY15" fmla="*/ 502920 h 575310"/>
            <a:gd name="connsiteX16" fmla="*/ 1428750 w 1760220"/>
            <a:gd name="connsiteY16" fmla="*/ 472440 h 575310"/>
            <a:gd name="connsiteX17" fmla="*/ 1379220 w 1760220"/>
            <a:gd name="connsiteY17" fmla="*/ 422910 h 575310"/>
            <a:gd name="connsiteX18" fmla="*/ 1310640 w 1760220"/>
            <a:gd name="connsiteY18" fmla="*/ 457200 h 575310"/>
            <a:gd name="connsiteX19" fmla="*/ 1310640 w 1760220"/>
            <a:gd name="connsiteY19" fmla="*/ 514350 h 575310"/>
            <a:gd name="connsiteX20" fmla="*/ 1211580 w 1760220"/>
            <a:gd name="connsiteY20" fmla="*/ 518160 h 575310"/>
            <a:gd name="connsiteX21" fmla="*/ 1150620 w 1760220"/>
            <a:gd name="connsiteY21" fmla="*/ 495300 h 575310"/>
            <a:gd name="connsiteX22" fmla="*/ 1154430 w 1760220"/>
            <a:gd name="connsiteY22" fmla="*/ 422910 h 575310"/>
            <a:gd name="connsiteX23" fmla="*/ 1120140 w 1760220"/>
            <a:gd name="connsiteY23" fmla="*/ 411480 h 575310"/>
            <a:gd name="connsiteX24" fmla="*/ 1089660 w 1760220"/>
            <a:gd name="connsiteY24" fmla="*/ 438150 h 575310"/>
            <a:gd name="connsiteX25" fmla="*/ 1074420 w 1760220"/>
            <a:gd name="connsiteY25" fmla="*/ 396240 h 575310"/>
            <a:gd name="connsiteX26" fmla="*/ 1013460 w 1760220"/>
            <a:gd name="connsiteY26" fmla="*/ 476250 h 575310"/>
            <a:gd name="connsiteX27" fmla="*/ 971550 w 1760220"/>
            <a:gd name="connsiteY27" fmla="*/ 483870 h 575310"/>
            <a:gd name="connsiteX28" fmla="*/ 990600 w 1760220"/>
            <a:gd name="connsiteY28" fmla="*/ 529590 h 575310"/>
            <a:gd name="connsiteX29" fmla="*/ 902970 w 1760220"/>
            <a:gd name="connsiteY29" fmla="*/ 575310 h 575310"/>
            <a:gd name="connsiteX30" fmla="*/ 803910 w 1760220"/>
            <a:gd name="connsiteY30" fmla="*/ 518160 h 575310"/>
            <a:gd name="connsiteX31" fmla="*/ 689610 w 1760220"/>
            <a:gd name="connsiteY31" fmla="*/ 445770 h 575310"/>
            <a:gd name="connsiteX32" fmla="*/ 598170 w 1760220"/>
            <a:gd name="connsiteY32" fmla="*/ 476250 h 575310"/>
            <a:gd name="connsiteX33" fmla="*/ 541020 w 1760220"/>
            <a:gd name="connsiteY33" fmla="*/ 445770 h 575310"/>
            <a:gd name="connsiteX34" fmla="*/ 510540 w 1760220"/>
            <a:gd name="connsiteY34" fmla="*/ 495300 h 575310"/>
            <a:gd name="connsiteX35" fmla="*/ 476250 w 1760220"/>
            <a:gd name="connsiteY35" fmla="*/ 449580 h 575310"/>
            <a:gd name="connsiteX36" fmla="*/ 441960 w 1760220"/>
            <a:gd name="connsiteY36" fmla="*/ 438150 h 575310"/>
            <a:gd name="connsiteX37" fmla="*/ 430530 w 1760220"/>
            <a:gd name="connsiteY37" fmla="*/ 400050 h 575310"/>
            <a:gd name="connsiteX38" fmla="*/ 358140 w 1760220"/>
            <a:gd name="connsiteY38" fmla="*/ 449580 h 575310"/>
            <a:gd name="connsiteX39" fmla="*/ 289560 w 1760220"/>
            <a:gd name="connsiteY39" fmla="*/ 415290 h 575310"/>
            <a:gd name="connsiteX40" fmla="*/ 274320 w 1760220"/>
            <a:gd name="connsiteY40" fmla="*/ 377190 h 575310"/>
            <a:gd name="connsiteX41" fmla="*/ 205740 w 1760220"/>
            <a:gd name="connsiteY41" fmla="*/ 350520 h 575310"/>
            <a:gd name="connsiteX42" fmla="*/ 179070 w 1760220"/>
            <a:gd name="connsiteY42" fmla="*/ 415290 h 575310"/>
            <a:gd name="connsiteX43" fmla="*/ 72390 w 1760220"/>
            <a:gd name="connsiteY43" fmla="*/ 407670 h 575310"/>
            <a:gd name="connsiteX44" fmla="*/ 57150 w 1760220"/>
            <a:gd name="connsiteY44" fmla="*/ 365760 h 575310"/>
            <a:gd name="connsiteX45" fmla="*/ 0 w 1760220"/>
            <a:gd name="connsiteY45" fmla="*/ 247650 h 575310"/>
            <a:gd name="connsiteX46" fmla="*/ 118110 w 1760220"/>
            <a:gd name="connsiteY46" fmla="*/ 148590 h 575310"/>
            <a:gd name="connsiteX47" fmla="*/ 113347 w 1760220"/>
            <a:gd name="connsiteY47" fmla="*/ 63342 h 575310"/>
            <a:gd name="connsiteX48" fmla="*/ 162402 w 1760220"/>
            <a:gd name="connsiteY48" fmla="*/ 4762 h 575310"/>
            <a:gd name="connsiteX49" fmla="*/ 247650 w 1760220"/>
            <a:gd name="connsiteY49" fmla="*/ 0 h 575310"/>
            <a:gd name="connsiteX50" fmla="*/ 293370 w 1760220"/>
            <a:gd name="connsiteY50" fmla="*/ 41910 h 575310"/>
            <a:gd name="connsiteX51" fmla="*/ 316230 w 1760220"/>
            <a:gd name="connsiteY51" fmla="*/ 0 h 575310"/>
            <a:gd name="connsiteX52" fmla="*/ 361950 w 1760220"/>
            <a:gd name="connsiteY52" fmla="*/ 11430 h 575310"/>
            <a:gd name="connsiteX53" fmla="*/ 400050 w 1760220"/>
            <a:gd name="connsiteY53" fmla="*/ 11430 h 575310"/>
            <a:gd name="connsiteX54" fmla="*/ 468630 w 1760220"/>
            <a:gd name="connsiteY54" fmla="*/ 76200 h 575310"/>
            <a:gd name="connsiteX55" fmla="*/ 468630 w 1760220"/>
            <a:gd name="connsiteY55" fmla="*/ 106680 h 575310"/>
            <a:gd name="connsiteX56" fmla="*/ 628650 w 1760220"/>
            <a:gd name="connsiteY56" fmla="*/ 194310 h 575310"/>
            <a:gd name="connsiteX57" fmla="*/ 708660 w 1760220"/>
            <a:gd name="connsiteY57" fmla="*/ 179070 h 575310"/>
            <a:gd name="connsiteX58" fmla="*/ 735330 w 1760220"/>
            <a:gd name="connsiteY58" fmla="*/ 247650 h 575310"/>
            <a:gd name="connsiteX59" fmla="*/ 723900 w 1760220"/>
            <a:gd name="connsiteY59" fmla="*/ 316230 h 575310"/>
            <a:gd name="connsiteX60" fmla="*/ 777240 w 1760220"/>
            <a:gd name="connsiteY60" fmla="*/ 339090 h 575310"/>
            <a:gd name="connsiteX61" fmla="*/ 826770 w 1760220"/>
            <a:gd name="connsiteY61" fmla="*/ 285750 h 575310"/>
            <a:gd name="connsiteX62" fmla="*/ 830580 w 1760220"/>
            <a:gd name="connsiteY62" fmla="*/ 270510 h 575310"/>
            <a:gd name="connsiteX63" fmla="*/ 876300 w 1760220"/>
            <a:gd name="connsiteY63" fmla="*/ 270510 h 575310"/>
            <a:gd name="connsiteX64" fmla="*/ 979170 w 1760220"/>
            <a:gd name="connsiteY64" fmla="*/ 140970 h 575310"/>
            <a:gd name="connsiteX65" fmla="*/ 1165860 w 1760220"/>
            <a:gd name="connsiteY65" fmla="*/ 186690 h 575310"/>
            <a:gd name="connsiteX0" fmla="*/ 1165860 w 1760220"/>
            <a:gd name="connsiteY0" fmla="*/ 186690 h 575310"/>
            <a:gd name="connsiteX1" fmla="*/ 1287780 w 1760220"/>
            <a:gd name="connsiteY1" fmla="*/ 278130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79735 w 1760220"/>
            <a:gd name="connsiteY11" fmla="*/ 494824 h 575310"/>
            <a:gd name="connsiteX12" fmla="*/ 1709739 w 1760220"/>
            <a:gd name="connsiteY12" fmla="*/ 548164 h 575310"/>
            <a:gd name="connsiteX13" fmla="*/ 1642110 w 1760220"/>
            <a:gd name="connsiteY13" fmla="*/ 571500 h 575310"/>
            <a:gd name="connsiteX14" fmla="*/ 1581150 w 1760220"/>
            <a:gd name="connsiteY14" fmla="*/ 491490 h 575310"/>
            <a:gd name="connsiteX15" fmla="*/ 1489710 w 1760220"/>
            <a:gd name="connsiteY15" fmla="*/ 502920 h 575310"/>
            <a:gd name="connsiteX16" fmla="*/ 1428750 w 1760220"/>
            <a:gd name="connsiteY16" fmla="*/ 472440 h 575310"/>
            <a:gd name="connsiteX17" fmla="*/ 1379220 w 1760220"/>
            <a:gd name="connsiteY17" fmla="*/ 422910 h 575310"/>
            <a:gd name="connsiteX18" fmla="*/ 1310640 w 1760220"/>
            <a:gd name="connsiteY18" fmla="*/ 457200 h 575310"/>
            <a:gd name="connsiteX19" fmla="*/ 1310640 w 1760220"/>
            <a:gd name="connsiteY19" fmla="*/ 514350 h 575310"/>
            <a:gd name="connsiteX20" fmla="*/ 1211580 w 1760220"/>
            <a:gd name="connsiteY20" fmla="*/ 518160 h 575310"/>
            <a:gd name="connsiteX21" fmla="*/ 1150620 w 1760220"/>
            <a:gd name="connsiteY21" fmla="*/ 495300 h 575310"/>
            <a:gd name="connsiteX22" fmla="*/ 1154430 w 1760220"/>
            <a:gd name="connsiteY22" fmla="*/ 422910 h 575310"/>
            <a:gd name="connsiteX23" fmla="*/ 1120140 w 1760220"/>
            <a:gd name="connsiteY23" fmla="*/ 411480 h 575310"/>
            <a:gd name="connsiteX24" fmla="*/ 1089660 w 1760220"/>
            <a:gd name="connsiteY24" fmla="*/ 438150 h 575310"/>
            <a:gd name="connsiteX25" fmla="*/ 1074420 w 1760220"/>
            <a:gd name="connsiteY25" fmla="*/ 396240 h 575310"/>
            <a:gd name="connsiteX26" fmla="*/ 1013460 w 1760220"/>
            <a:gd name="connsiteY26" fmla="*/ 476250 h 575310"/>
            <a:gd name="connsiteX27" fmla="*/ 971550 w 1760220"/>
            <a:gd name="connsiteY27" fmla="*/ 483870 h 575310"/>
            <a:gd name="connsiteX28" fmla="*/ 990600 w 1760220"/>
            <a:gd name="connsiteY28" fmla="*/ 529590 h 575310"/>
            <a:gd name="connsiteX29" fmla="*/ 902970 w 1760220"/>
            <a:gd name="connsiteY29" fmla="*/ 575310 h 575310"/>
            <a:gd name="connsiteX30" fmla="*/ 803910 w 1760220"/>
            <a:gd name="connsiteY30" fmla="*/ 518160 h 575310"/>
            <a:gd name="connsiteX31" fmla="*/ 689610 w 1760220"/>
            <a:gd name="connsiteY31" fmla="*/ 445770 h 575310"/>
            <a:gd name="connsiteX32" fmla="*/ 598170 w 1760220"/>
            <a:gd name="connsiteY32" fmla="*/ 476250 h 575310"/>
            <a:gd name="connsiteX33" fmla="*/ 541020 w 1760220"/>
            <a:gd name="connsiteY33" fmla="*/ 445770 h 575310"/>
            <a:gd name="connsiteX34" fmla="*/ 510540 w 1760220"/>
            <a:gd name="connsiteY34" fmla="*/ 495300 h 575310"/>
            <a:gd name="connsiteX35" fmla="*/ 476250 w 1760220"/>
            <a:gd name="connsiteY35" fmla="*/ 449580 h 575310"/>
            <a:gd name="connsiteX36" fmla="*/ 441960 w 1760220"/>
            <a:gd name="connsiteY36" fmla="*/ 438150 h 575310"/>
            <a:gd name="connsiteX37" fmla="*/ 430530 w 1760220"/>
            <a:gd name="connsiteY37" fmla="*/ 400050 h 575310"/>
            <a:gd name="connsiteX38" fmla="*/ 358140 w 1760220"/>
            <a:gd name="connsiteY38" fmla="*/ 449580 h 575310"/>
            <a:gd name="connsiteX39" fmla="*/ 289560 w 1760220"/>
            <a:gd name="connsiteY39" fmla="*/ 415290 h 575310"/>
            <a:gd name="connsiteX40" fmla="*/ 274320 w 1760220"/>
            <a:gd name="connsiteY40" fmla="*/ 377190 h 575310"/>
            <a:gd name="connsiteX41" fmla="*/ 205740 w 1760220"/>
            <a:gd name="connsiteY41" fmla="*/ 350520 h 575310"/>
            <a:gd name="connsiteX42" fmla="*/ 179070 w 1760220"/>
            <a:gd name="connsiteY42" fmla="*/ 415290 h 575310"/>
            <a:gd name="connsiteX43" fmla="*/ 72390 w 1760220"/>
            <a:gd name="connsiteY43" fmla="*/ 407670 h 575310"/>
            <a:gd name="connsiteX44" fmla="*/ 57150 w 1760220"/>
            <a:gd name="connsiteY44" fmla="*/ 365760 h 575310"/>
            <a:gd name="connsiteX45" fmla="*/ 0 w 1760220"/>
            <a:gd name="connsiteY45" fmla="*/ 247650 h 575310"/>
            <a:gd name="connsiteX46" fmla="*/ 118110 w 1760220"/>
            <a:gd name="connsiteY46" fmla="*/ 148590 h 575310"/>
            <a:gd name="connsiteX47" fmla="*/ 113347 w 1760220"/>
            <a:gd name="connsiteY47" fmla="*/ 63342 h 575310"/>
            <a:gd name="connsiteX48" fmla="*/ 162402 w 1760220"/>
            <a:gd name="connsiteY48" fmla="*/ 4762 h 575310"/>
            <a:gd name="connsiteX49" fmla="*/ 247650 w 1760220"/>
            <a:gd name="connsiteY49" fmla="*/ 0 h 575310"/>
            <a:gd name="connsiteX50" fmla="*/ 293370 w 1760220"/>
            <a:gd name="connsiteY50" fmla="*/ 41910 h 575310"/>
            <a:gd name="connsiteX51" fmla="*/ 316230 w 1760220"/>
            <a:gd name="connsiteY51" fmla="*/ 0 h 575310"/>
            <a:gd name="connsiteX52" fmla="*/ 361950 w 1760220"/>
            <a:gd name="connsiteY52" fmla="*/ 11430 h 575310"/>
            <a:gd name="connsiteX53" fmla="*/ 400050 w 1760220"/>
            <a:gd name="connsiteY53" fmla="*/ 11430 h 575310"/>
            <a:gd name="connsiteX54" fmla="*/ 468630 w 1760220"/>
            <a:gd name="connsiteY54" fmla="*/ 76200 h 575310"/>
            <a:gd name="connsiteX55" fmla="*/ 468630 w 1760220"/>
            <a:gd name="connsiteY55" fmla="*/ 106680 h 575310"/>
            <a:gd name="connsiteX56" fmla="*/ 628650 w 1760220"/>
            <a:gd name="connsiteY56" fmla="*/ 194310 h 575310"/>
            <a:gd name="connsiteX57" fmla="*/ 708660 w 1760220"/>
            <a:gd name="connsiteY57" fmla="*/ 179070 h 575310"/>
            <a:gd name="connsiteX58" fmla="*/ 735330 w 1760220"/>
            <a:gd name="connsiteY58" fmla="*/ 247650 h 575310"/>
            <a:gd name="connsiteX59" fmla="*/ 723900 w 1760220"/>
            <a:gd name="connsiteY59" fmla="*/ 316230 h 575310"/>
            <a:gd name="connsiteX60" fmla="*/ 777240 w 1760220"/>
            <a:gd name="connsiteY60" fmla="*/ 339090 h 575310"/>
            <a:gd name="connsiteX61" fmla="*/ 826770 w 1760220"/>
            <a:gd name="connsiteY61" fmla="*/ 285750 h 575310"/>
            <a:gd name="connsiteX62" fmla="*/ 830580 w 1760220"/>
            <a:gd name="connsiteY62" fmla="*/ 270510 h 575310"/>
            <a:gd name="connsiteX63" fmla="*/ 876300 w 1760220"/>
            <a:gd name="connsiteY63" fmla="*/ 270510 h 575310"/>
            <a:gd name="connsiteX64" fmla="*/ 979170 w 1760220"/>
            <a:gd name="connsiteY64" fmla="*/ 140970 h 575310"/>
            <a:gd name="connsiteX65" fmla="*/ 1165860 w 1760220"/>
            <a:gd name="connsiteY65" fmla="*/ 186690 h 575310"/>
            <a:gd name="connsiteX0" fmla="*/ 1165860 w 1760220"/>
            <a:gd name="connsiteY0" fmla="*/ 186690 h 575310"/>
            <a:gd name="connsiteX1" fmla="*/ 1278255 w 1760220"/>
            <a:gd name="connsiteY1" fmla="*/ 282892 h 575310"/>
            <a:gd name="connsiteX2" fmla="*/ 1333500 w 1760220"/>
            <a:gd name="connsiteY2" fmla="*/ 320040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79735 w 1760220"/>
            <a:gd name="connsiteY11" fmla="*/ 494824 h 575310"/>
            <a:gd name="connsiteX12" fmla="*/ 1709739 w 1760220"/>
            <a:gd name="connsiteY12" fmla="*/ 548164 h 575310"/>
            <a:gd name="connsiteX13" fmla="*/ 1642110 w 1760220"/>
            <a:gd name="connsiteY13" fmla="*/ 571500 h 575310"/>
            <a:gd name="connsiteX14" fmla="*/ 1581150 w 1760220"/>
            <a:gd name="connsiteY14" fmla="*/ 491490 h 575310"/>
            <a:gd name="connsiteX15" fmla="*/ 1489710 w 1760220"/>
            <a:gd name="connsiteY15" fmla="*/ 502920 h 575310"/>
            <a:gd name="connsiteX16" fmla="*/ 1428750 w 1760220"/>
            <a:gd name="connsiteY16" fmla="*/ 472440 h 575310"/>
            <a:gd name="connsiteX17" fmla="*/ 1379220 w 1760220"/>
            <a:gd name="connsiteY17" fmla="*/ 422910 h 575310"/>
            <a:gd name="connsiteX18" fmla="*/ 1310640 w 1760220"/>
            <a:gd name="connsiteY18" fmla="*/ 457200 h 575310"/>
            <a:gd name="connsiteX19" fmla="*/ 1310640 w 1760220"/>
            <a:gd name="connsiteY19" fmla="*/ 514350 h 575310"/>
            <a:gd name="connsiteX20" fmla="*/ 1211580 w 1760220"/>
            <a:gd name="connsiteY20" fmla="*/ 518160 h 575310"/>
            <a:gd name="connsiteX21" fmla="*/ 1150620 w 1760220"/>
            <a:gd name="connsiteY21" fmla="*/ 495300 h 575310"/>
            <a:gd name="connsiteX22" fmla="*/ 1154430 w 1760220"/>
            <a:gd name="connsiteY22" fmla="*/ 422910 h 575310"/>
            <a:gd name="connsiteX23" fmla="*/ 1120140 w 1760220"/>
            <a:gd name="connsiteY23" fmla="*/ 411480 h 575310"/>
            <a:gd name="connsiteX24" fmla="*/ 1089660 w 1760220"/>
            <a:gd name="connsiteY24" fmla="*/ 438150 h 575310"/>
            <a:gd name="connsiteX25" fmla="*/ 1074420 w 1760220"/>
            <a:gd name="connsiteY25" fmla="*/ 396240 h 575310"/>
            <a:gd name="connsiteX26" fmla="*/ 1013460 w 1760220"/>
            <a:gd name="connsiteY26" fmla="*/ 476250 h 575310"/>
            <a:gd name="connsiteX27" fmla="*/ 971550 w 1760220"/>
            <a:gd name="connsiteY27" fmla="*/ 483870 h 575310"/>
            <a:gd name="connsiteX28" fmla="*/ 990600 w 1760220"/>
            <a:gd name="connsiteY28" fmla="*/ 529590 h 575310"/>
            <a:gd name="connsiteX29" fmla="*/ 902970 w 1760220"/>
            <a:gd name="connsiteY29" fmla="*/ 575310 h 575310"/>
            <a:gd name="connsiteX30" fmla="*/ 803910 w 1760220"/>
            <a:gd name="connsiteY30" fmla="*/ 518160 h 575310"/>
            <a:gd name="connsiteX31" fmla="*/ 689610 w 1760220"/>
            <a:gd name="connsiteY31" fmla="*/ 445770 h 575310"/>
            <a:gd name="connsiteX32" fmla="*/ 598170 w 1760220"/>
            <a:gd name="connsiteY32" fmla="*/ 476250 h 575310"/>
            <a:gd name="connsiteX33" fmla="*/ 541020 w 1760220"/>
            <a:gd name="connsiteY33" fmla="*/ 445770 h 575310"/>
            <a:gd name="connsiteX34" fmla="*/ 510540 w 1760220"/>
            <a:gd name="connsiteY34" fmla="*/ 495300 h 575310"/>
            <a:gd name="connsiteX35" fmla="*/ 476250 w 1760220"/>
            <a:gd name="connsiteY35" fmla="*/ 449580 h 575310"/>
            <a:gd name="connsiteX36" fmla="*/ 441960 w 1760220"/>
            <a:gd name="connsiteY36" fmla="*/ 438150 h 575310"/>
            <a:gd name="connsiteX37" fmla="*/ 430530 w 1760220"/>
            <a:gd name="connsiteY37" fmla="*/ 400050 h 575310"/>
            <a:gd name="connsiteX38" fmla="*/ 358140 w 1760220"/>
            <a:gd name="connsiteY38" fmla="*/ 449580 h 575310"/>
            <a:gd name="connsiteX39" fmla="*/ 289560 w 1760220"/>
            <a:gd name="connsiteY39" fmla="*/ 415290 h 575310"/>
            <a:gd name="connsiteX40" fmla="*/ 274320 w 1760220"/>
            <a:gd name="connsiteY40" fmla="*/ 377190 h 575310"/>
            <a:gd name="connsiteX41" fmla="*/ 205740 w 1760220"/>
            <a:gd name="connsiteY41" fmla="*/ 350520 h 575310"/>
            <a:gd name="connsiteX42" fmla="*/ 179070 w 1760220"/>
            <a:gd name="connsiteY42" fmla="*/ 415290 h 575310"/>
            <a:gd name="connsiteX43" fmla="*/ 72390 w 1760220"/>
            <a:gd name="connsiteY43" fmla="*/ 407670 h 575310"/>
            <a:gd name="connsiteX44" fmla="*/ 57150 w 1760220"/>
            <a:gd name="connsiteY44" fmla="*/ 365760 h 575310"/>
            <a:gd name="connsiteX45" fmla="*/ 0 w 1760220"/>
            <a:gd name="connsiteY45" fmla="*/ 247650 h 575310"/>
            <a:gd name="connsiteX46" fmla="*/ 118110 w 1760220"/>
            <a:gd name="connsiteY46" fmla="*/ 148590 h 575310"/>
            <a:gd name="connsiteX47" fmla="*/ 113347 w 1760220"/>
            <a:gd name="connsiteY47" fmla="*/ 63342 h 575310"/>
            <a:gd name="connsiteX48" fmla="*/ 162402 w 1760220"/>
            <a:gd name="connsiteY48" fmla="*/ 4762 h 575310"/>
            <a:gd name="connsiteX49" fmla="*/ 247650 w 1760220"/>
            <a:gd name="connsiteY49" fmla="*/ 0 h 575310"/>
            <a:gd name="connsiteX50" fmla="*/ 293370 w 1760220"/>
            <a:gd name="connsiteY50" fmla="*/ 41910 h 575310"/>
            <a:gd name="connsiteX51" fmla="*/ 316230 w 1760220"/>
            <a:gd name="connsiteY51" fmla="*/ 0 h 575310"/>
            <a:gd name="connsiteX52" fmla="*/ 361950 w 1760220"/>
            <a:gd name="connsiteY52" fmla="*/ 11430 h 575310"/>
            <a:gd name="connsiteX53" fmla="*/ 400050 w 1760220"/>
            <a:gd name="connsiteY53" fmla="*/ 11430 h 575310"/>
            <a:gd name="connsiteX54" fmla="*/ 468630 w 1760220"/>
            <a:gd name="connsiteY54" fmla="*/ 76200 h 575310"/>
            <a:gd name="connsiteX55" fmla="*/ 468630 w 1760220"/>
            <a:gd name="connsiteY55" fmla="*/ 106680 h 575310"/>
            <a:gd name="connsiteX56" fmla="*/ 628650 w 1760220"/>
            <a:gd name="connsiteY56" fmla="*/ 194310 h 575310"/>
            <a:gd name="connsiteX57" fmla="*/ 708660 w 1760220"/>
            <a:gd name="connsiteY57" fmla="*/ 179070 h 575310"/>
            <a:gd name="connsiteX58" fmla="*/ 735330 w 1760220"/>
            <a:gd name="connsiteY58" fmla="*/ 247650 h 575310"/>
            <a:gd name="connsiteX59" fmla="*/ 723900 w 1760220"/>
            <a:gd name="connsiteY59" fmla="*/ 316230 h 575310"/>
            <a:gd name="connsiteX60" fmla="*/ 777240 w 1760220"/>
            <a:gd name="connsiteY60" fmla="*/ 339090 h 575310"/>
            <a:gd name="connsiteX61" fmla="*/ 826770 w 1760220"/>
            <a:gd name="connsiteY61" fmla="*/ 285750 h 575310"/>
            <a:gd name="connsiteX62" fmla="*/ 830580 w 1760220"/>
            <a:gd name="connsiteY62" fmla="*/ 270510 h 575310"/>
            <a:gd name="connsiteX63" fmla="*/ 876300 w 1760220"/>
            <a:gd name="connsiteY63" fmla="*/ 270510 h 575310"/>
            <a:gd name="connsiteX64" fmla="*/ 979170 w 1760220"/>
            <a:gd name="connsiteY64" fmla="*/ 140970 h 575310"/>
            <a:gd name="connsiteX65" fmla="*/ 1165860 w 1760220"/>
            <a:gd name="connsiteY65" fmla="*/ 186690 h 575310"/>
            <a:gd name="connsiteX0" fmla="*/ 1165860 w 1760220"/>
            <a:gd name="connsiteY0" fmla="*/ 186690 h 575310"/>
            <a:gd name="connsiteX1" fmla="*/ 1278255 w 1760220"/>
            <a:gd name="connsiteY1" fmla="*/ 282892 h 575310"/>
            <a:gd name="connsiteX2" fmla="*/ 1331119 w 1760220"/>
            <a:gd name="connsiteY2" fmla="*/ 336708 h 575310"/>
            <a:gd name="connsiteX3" fmla="*/ 1428750 w 1760220"/>
            <a:gd name="connsiteY3" fmla="*/ 278130 h 575310"/>
            <a:gd name="connsiteX4" fmla="*/ 1482090 w 1760220"/>
            <a:gd name="connsiteY4" fmla="*/ 259080 h 575310"/>
            <a:gd name="connsiteX5" fmla="*/ 1539240 w 1760220"/>
            <a:gd name="connsiteY5" fmla="*/ 293370 h 575310"/>
            <a:gd name="connsiteX6" fmla="*/ 1596390 w 1760220"/>
            <a:gd name="connsiteY6" fmla="*/ 320040 h 575310"/>
            <a:gd name="connsiteX7" fmla="*/ 1653540 w 1760220"/>
            <a:gd name="connsiteY7" fmla="*/ 320040 h 575310"/>
            <a:gd name="connsiteX8" fmla="*/ 1672590 w 1760220"/>
            <a:gd name="connsiteY8" fmla="*/ 339090 h 575310"/>
            <a:gd name="connsiteX9" fmla="*/ 1737360 w 1760220"/>
            <a:gd name="connsiteY9" fmla="*/ 293370 h 575310"/>
            <a:gd name="connsiteX10" fmla="*/ 1760220 w 1760220"/>
            <a:gd name="connsiteY10" fmla="*/ 323850 h 575310"/>
            <a:gd name="connsiteX11" fmla="*/ 1679735 w 1760220"/>
            <a:gd name="connsiteY11" fmla="*/ 494824 h 575310"/>
            <a:gd name="connsiteX12" fmla="*/ 1709739 w 1760220"/>
            <a:gd name="connsiteY12" fmla="*/ 548164 h 575310"/>
            <a:gd name="connsiteX13" fmla="*/ 1642110 w 1760220"/>
            <a:gd name="connsiteY13" fmla="*/ 571500 h 575310"/>
            <a:gd name="connsiteX14" fmla="*/ 1581150 w 1760220"/>
            <a:gd name="connsiteY14" fmla="*/ 491490 h 575310"/>
            <a:gd name="connsiteX15" fmla="*/ 1489710 w 1760220"/>
            <a:gd name="connsiteY15" fmla="*/ 502920 h 575310"/>
            <a:gd name="connsiteX16" fmla="*/ 1428750 w 1760220"/>
            <a:gd name="connsiteY16" fmla="*/ 472440 h 575310"/>
            <a:gd name="connsiteX17" fmla="*/ 1379220 w 1760220"/>
            <a:gd name="connsiteY17" fmla="*/ 422910 h 575310"/>
            <a:gd name="connsiteX18" fmla="*/ 1310640 w 1760220"/>
            <a:gd name="connsiteY18" fmla="*/ 457200 h 575310"/>
            <a:gd name="connsiteX19" fmla="*/ 1310640 w 1760220"/>
            <a:gd name="connsiteY19" fmla="*/ 514350 h 575310"/>
            <a:gd name="connsiteX20" fmla="*/ 1211580 w 1760220"/>
            <a:gd name="connsiteY20" fmla="*/ 518160 h 575310"/>
            <a:gd name="connsiteX21" fmla="*/ 1150620 w 1760220"/>
            <a:gd name="connsiteY21" fmla="*/ 495300 h 575310"/>
            <a:gd name="connsiteX22" fmla="*/ 1154430 w 1760220"/>
            <a:gd name="connsiteY22" fmla="*/ 422910 h 575310"/>
            <a:gd name="connsiteX23" fmla="*/ 1120140 w 1760220"/>
            <a:gd name="connsiteY23" fmla="*/ 411480 h 575310"/>
            <a:gd name="connsiteX24" fmla="*/ 1089660 w 1760220"/>
            <a:gd name="connsiteY24" fmla="*/ 438150 h 575310"/>
            <a:gd name="connsiteX25" fmla="*/ 1074420 w 1760220"/>
            <a:gd name="connsiteY25" fmla="*/ 396240 h 575310"/>
            <a:gd name="connsiteX26" fmla="*/ 1013460 w 1760220"/>
            <a:gd name="connsiteY26" fmla="*/ 476250 h 575310"/>
            <a:gd name="connsiteX27" fmla="*/ 971550 w 1760220"/>
            <a:gd name="connsiteY27" fmla="*/ 483870 h 575310"/>
            <a:gd name="connsiteX28" fmla="*/ 990600 w 1760220"/>
            <a:gd name="connsiteY28" fmla="*/ 529590 h 575310"/>
            <a:gd name="connsiteX29" fmla="*/ 902970 w 1760220"/>
            <a:gd name="connsiteY29" fmla="*/ 575310 h 575310"/>
            <a:gd name="connsiteX30" fmla="*/ 803910 w 1760220"/>
            <a:gd name="connsiteY30" fmla="*/ 518160 h 575310"/>
            <a:gd name="connsiteX31" fmla="*/ 689610 w 1760220"/>
            <a:gd name="connsiteY31" fmla="*/ 445770 h 575310"/>
            <a:gd name="connsiteX32" fmla="*/ 598170 w 1760220"/>
            <a:gd name="connsiteY32" fmla="*/ 476250 h 575310"/>
            <a:gd name="connsiteX33" fmla="*/ 541020 w 1760220"/>
            <a:gd name="connsiteY33" fmla="*/ 445770 h 575310"/>
            <a:gd name="connsiteX34" fmla="*/ 510540 w 1760220"/>
            <a:gd name="connsiteY34" fmla="*/ 495300 h 575310"/>
            <a:gd name="connsiteX35" fmla="*/ 476250 w 1760220"/>
            <a:gd name="connsiteY35" fmla="*/ 449580 h 575310"/>
            <a:gd name="connsiteX36" fmla="*/ 441960 w 1760220"/>
            <a:gd name="connsiteY36" fmla="*/ 438150 h 575310"/>
            <a:gd name="connsiteX37" fmla="*/ 430530 w 1760220"/>
            <a:gd name="connsiteY37" fmla="*/ 400050 h 575310"/>
            <a:gd name="connsiteX38" fmla="*/ 358140 w 1760220"/>
            <a:gd name="connsiteY38" fmla="*/ 449580 h 575310"/>
            <a:gd name="connsiteX39" fmla="*/ 289560 w 1760220"/>
            <a:gd name="connsiteY39" fmla="*/ 415290 h 575310"/>
            <a:gd name="connsiteX40" fmla="*/ 274320 w 1760220"/>
            <a:gd name="connsiteY40" fmla="*/ 377190 h 575310"/>
            <a:gd name="connsiteX41" fmla="*/ 205740 w 1760220"/>
            <a:gd name="connsiteY41" fmla="*/ 350520 h 575310"/>
            <a:gd name="connsiteX42" fmla="*/ 179070 w 1760220"/>
            <a:gd name="connsiteY42" fmla="*/ 415290 h 575310"/>
            <a:gd name="connsiteX43" fmla="*/ 72390 w 1760220"/>
            <a:gd name="connsiteY43" fmla="*/ 407670 h 575310"/>
            <a:gd name="connsiteX44" fmla="*/ 57150 w 1760220"/>
            <a:gd name="connsiteY44" fmla="*/ 365760 h 575310"/>
            <a:gd name="connsiteX45" fmla="*/ 0 w 1760220"/>
            <a:gd name="connsiteY45" fmla="*/ 247650 h 575310"/>
            <a:gd name="connsiteX46" fmla="*/ 118110 w 1760220"/>
            <a:gd name="connsiteY46" fmla="*/ 148590 h 575310"/>
            <a:gd name="connsiteX47" fmla="*/ 113347 w 1760220"/>
            <a:gd name="connsiteY47" fmla="*/ 63342 h 575310"/>
            <a:gd name="connsiteX48" fmla="*/ 162402 w 1760220"/>
            <a:gd name="connsiteY48" fmla="*/ 4762 h 575310"/>
            <a:gd name="connsiteX49" fmla="*/ 247650 w 1760220"/>
            <a:gd name="connsiteY49" fmla="*/ 0 h 575310"/>
            <a:gd name="connsiteX50" fmla="*/ 293370 w 1760220"/>
            <a:gd name="connsiteY50" fmla="*/ 41910 h 575310"/>
            <a:gd name="connsiteX51" fmla="*/ 316230 w 1760220"/>
            <a:gd name="connsiteY51" fmla="*/ 0 h 575310"/>
            <a:gd name="connsiteX52" fmla="*/ 361950 w 1760220"/>
            <a:gd name="connsiteY52" fmla="*/ 11430 h 575310"/>
            <a:gd name="connsiteX53" fmla="*/ 400050 w 1760220"/>
            <a:gd name="connsiteY53" fmla="*/ 11430 h 575310"/>
            <a:gd name="connsiteX54" fmla="*/ 468630 w 1760220"/>
            <a:gd name="connsiteY54" fmla="*/ 76200 h 575310"/>
            <a:gd name="connsiteX55" fmla="*/ 468630 w 1760220"/>
            <a:gd name="connsiteY55" fmla="*/ 106680 h 575310"/>
            <a:gd name="connsiteX56" fmla="*/ 628650 w 1760220"/>
            <a:gd name="connsiteY56" fmla="*/ 194310 h 575310"/>
            <a:gd name="connsiteX57" fmla="*/ 708660 w 1760220"/>
            <a:gd name="connsiteY57" fmla="*/ 179070 h 575310"/>
            <a:gd name="connsiteX58" fmla="*/ 735330 w 1760220"/>
            <a:gd name="connsiteY58" fmla="*/ 247650 h 575310"/>
            <a:gd name="connsiteX59" fmla="*/ 723900 w 1760220"/>
            <a:gd name="connsiteY59" fmla="*/ 316230 h 575310"/>
            <a:gd name="connsiteX60" fmla="*/ 777240 w 1760220"/>
            <a:gd name="connsiteY60" fmla="*/ 339090 h 575310"/>
            <a:gd name="connsiteX61" fmla="*/ 826770 w 1760220"/>
            <a:gd name="connsiteY61" fmla="*/ 285750 h 575310"/>
            <a:gd name="connsiteX62" fmla="*/ 830580 w 1760220"/>
            <a:gd name="connsiteY62" fmla="*/ 270510 h 575310"/>
            <a:gd name="connsiteX63" fmla="*/ 876300 w 1760220"/>
            <a:gd name="connsiteY63" fmla="*/ 270510 h 575310"/>
            <a:gd name="connsiteX64" fmla="*/ 979170 w 1760220"/>
            <a:gd name="connsiteY64" fmla="*/ 140970 h 575310"/>
            <a:gd name="connsiteX65" fmla="*/ 1165860 w 1760220"/>
            <a:gd name="connsiteY65" fmla="*/ 186690 h 57531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760220" h="575310">
              <a:moveTo>
                <a:pt x="1165860" y="186690"/>
              </a:moveTo>
              <a:lnTo>
                <a:pt x="1278255" y="282892"/>
              </a:lnTo>
              <a:lnTo>
                <a:pt x="1331119" y="336708"/>
              </a:lnTo>
              <a:lnTo>
                <a:pt x="1428750" y="278130"/>
              </a:lnTo>
              <a:lnTo>
                <a:pt x="1482090" y="259080"/>
              </a:lnTo>
              <a:lnTo>
                <a:pt x="1539240" y="293370"/>
              </a:lnTo>
              <a:lnTo>
                <a:pt x="1596390" y="320040"/>
              </a:lnTo>
              <a:lnTo>
                <a:pt x="1653540" y="320040"/>
              </a:lnTo>
              <a:lnTo>
                <a:pt x="1672590" y="339090"/>
              </a:lnTo>
              <a:lnTo>
                <a:pt x="1737360" y="293370"/>
              </a:lnTo>
              <a:lnTo>
                <a:pt x="1760220" y="323850"/>
              </a:lnTo>
              <a:lnTo>
                <a:pt x="1679735" y="494824"/>
              </a:lnTo>
              <a:lnTo>
                <a:pt x="1709739" y="548164"/>
              </a:lnTo>
              <a:lnTo>
                <a:pt x="1642110" y="571500"/>
              </a:lnTo>
              <a:lnTo>
                <a:pt x="1581150" y="491490"/>
              </a:lnTo>
              <a:lnTo>
                <a:pt x="1489710" y="502920"/>
              </a:lnTo>
              <a:lnTo>
                <a:pt x="1428750" y="472440"/>
              </a:lnTo>
              <a:lnTo>
                <a:pt x="1379220" y="422910"/>
              </a:lnTo>
              <a:lnTo>
                <a:pt x="1310640" y="457200"/>
              </a:lnTo>
              <a:lnTo>
                <a:pt x="1310640" y="514350"/>
              </a:lnTo>
              <a:lnTo>
                <a:pt x="1211580" y="518160"/>
              </a:lnTo>
              <a:lnTo>
                <a:pt x="1150620" y="495300"/>
              </a:lnTo>
              <a:lnTo>
                <a:pt x="1154430" y="422910"/>
              </a:lnTo>
              <a:lnTo>
                <a:pt x="1120140" y="411480"/>
              </a:lnTo>
              <a:lnTo>
                <a:pt x="1089660" y="438150"/>
              </a:lnTo>
              <a:lnTo>
                <a:pt x="1074420" y="396240"/>
              </a:lnTo>
              <a:lnTo>
                <a:pt x="1013460" y="476250"/>
              </a:lnTo>
              <a:lnTo>
                <a:pt x="971550" y="483870"/>
              </a:lnTo>
              <a:lnTo>
                <a:pt x="990600" y="529590"/>
              </a:lnTo>
              <a:lnTo>
                <a:pt x="902970" y="575310"/>
              </a:lnTo>
              <a:lnTo>
                <a:pt x="803910" y="518160"/>
              </a:lnTo>
              <a:lnTo>
                <a:pt x="689610" y="445770"/>
              </a:lnTo>
              <a:lnTo>
                <a:pt x="598170" y="476250"/>
              </a:lnTo>
              <a:lnTo>
                <a:pt x="541020" y="445770"/>
              </a:lnTo>
              <a:lnTo>
                <a:pt x="510540" y="495300"/>
              </a:lnTo>
              <a:lnTo>
                <a:pt x="476250" y="449580"/>
              </a:lnTo>
              <a:lnTo>
                <a:pt x="441960" y="438150"/>
              </a:lnTo>
              <a:lnTo>
                <a:pt x="430530" y="400050"/>
              </a:lnTo>
              <a:lnTo>
                <a:pt x="358140" y="449580"/>
              </a:lnTo>
              <a:lnTo>
                <a:pt x="289560" y="415290"/>
              </a:lnTo>
              <a:lnTo>
                <a:pt x="274320" y="377190"/>
              </a:lnTo>
              <a:lnTo>
                <a:pt x="205740" y="350520"/>
              </a:lnTo>
              <a:lnTo>
                <a:pt x="179070" y="415290"/>
              </a:lnTo>
              <a:lnTo>
                <a:pt x="72390" y="407670"/>
              </a:lnTo>
              <a:lnTo>
                <a:pt x="57150" y="365760"/>
              </a:lnTo>
              <a:lnTo>
                <a:pt x="0" y="247650"/>
              </a:lnTo>
              <a:lnTo>
                <a:pt x="118110" y="148590"/>
              </a:lnTo>
              <a:lnTo>
                <a:pt x="113347" y="63342"/>
              </a:lnTo>
              <a:lnTo>
                <a:pt x="162402" y="4762"/>
              </a:lnTo>
              <a:lnTo>
                <a:pt x="247650" y="0"/>
              </a:lnTo>
              <a:lnTo>
                <a:pt x="293370" y="41910"/>
              </a:lnTo>
              <a:lnTo>
                <a:pt x="316230" y="0"/>
              </a:lnTo>
              <a:lnTo>
                <a:pt x="361950" y="11430"/>
              </a:lnTo>
              <a:lnTo>
                <a:pt x="400050" y="11430"/>
              </a:lnTo>
              <a:lnTo>
                <a:pt x="468630" y="76200"/>
              </a:lnTo>
              <a:lnTo>
                <a:pt x="468630" y="106680"/>
              </a:lnTo>
              <a:lnTo>
                <a:pt x="628650" y="194310"/>
              </a:lnTo>
              <a:lnTo>
                <a:pt x="708660" y="179070"/>
              </a:lnTo>
              <a:lnTo>
                <a:pt x="735330" y="247650"/>
              </a:lnTo>
              <a:lnTo>
                <a:pt x="723900" y="316230"/>
              </a:lnTo>
              <a:lnTo>
                <a:pt x="777240" y="339090"/>
              </a:lnTo>
              <a:lnTo>
                <a:pt x="826770" y="285750"/>
              </a:lnTo>
              <a:lnTo>
                <a:pt x="830580" y="270510"/>
              </a:lnTo>
              <a:lnTo>
                <a:pt x="876300" y="270510"/>
              </a:lnTo>
              <a:lnTo>
                <a:pt x="979170" y="140970"/>
              </a:lnTo>
              <a:lnTo>
                <a:pt x="1165860" y="186690"/>
              </a:lnTo>
              <a:close/>
            </a:path>
          </a:pathLst>
        </a:custGeom>
        <a:solidFill>
          <a:srgbClr val="D9E1F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8</xdr:col>
      <xdr:colOff>13602</xdr:colOff>
      <xdr:row>8</xdr:row>
      <xdr:rowOff>74078</xdr:rowOff>
    </xdr:from>
    <xdr:to>
      <xdr:col>9</xdr:col>
      <xdr:colOff>778021</xdr:colOff>
      <xdr:row>12</xdr:row>
      <xdr:rowOff>118398</xdr:rowOff>
    </xdr:to>
    <xdr:sp macro="" textlink="">
      <xdr:nvSpPr>
        <xdr:cNvPr id="14" name="Osječko_baranjska_županija"/>
        <xdr:cNvSpPr/>
      </xdr:nvSpPr>
      <xdr:spPr>
        <a:xfrm>
          <a:off x="5566677" y="1855253"/>
          <a:ext cx="983494" cy="806320"/>
        </a:xfrm>
        <a:custGeom>
          <a:avLst/>
          <a:gdLst>
            <a:gd name="connsiteX0" fmla="*/ 45720 w 1443990"/>
            <a:gd name="connsiteY0" fmla="*/ 190500 h 1188720"/>
            <a:gd name="connsiteX1" fmla="*/ 140970 w 1443990"/>
            <a:gd name="connsiteY1" fmla="*/ 205740 h 1188720"/>
            <a:gd name="connsiteX2" fmla="*/ 171450 w 1443990"/>
            <a:gd name="connsiteY2" fmla="*/ 236220 h 1188720"/>
            <a:gd name="connsiteX3" fmla="*/ 259080 w 1443990"/>
            <a:gd name="connsiteY3" fmla="*/ 255270 h 1188720"/>
            <a:gd name="connsiteX4" fmla="*/ 308610 w 1443990"/>
            <a:gd name="connsiteY4" fmla="*/ 201930 h 1188720"/>
            <a:gd name="connsiteX5" fmla="*/ 331470 w 1443990"/>
            <a:gd name="connsiteY5" fmla="*/ 209550 h 1188720"/>
            <a:gd name="connsiteX6" fmla="*/ 358140 w 1443990"/>
            <a:gd name="connsiteY6" fmla="*/ 243840 h 1188720"/>
            <a:gd name="connsiteX7" fmla="*/ 403860 w 1443990"/>
            <a:gd name="connsiteY7" fmla="*/ 220980 h 1188720"/>
            <a:gd name="connsiteX8" fmla="*/ 487680 w 1443990"/>
            <a:gd name="connsiteY8" fmla="*/ 274320 h 1188720"/>
            <a:gd name="connsiteX9" fmla="*/ 518160 w 1443990"/>
            <a:gd name="connsiteY9" fmla="*/ 270510 h 1188720"/>
            <a:gd name="connsiteX10" fmla="*/ 548640 w 1443990"/>
            <a:gd name="connsiteY10" fmla="*/ 289560 h 1188720"/>
            <a:gd name="connsiteX11" fmla="*/ 567690 w 1443990"/>
            <a:gd name="connsiteY11" fmla="*/ 251460 h 1188720"/>
            <a:gd name="connsiteX12" fmla="*/ 590550 w 1443990"/>
            <a:gd name="connsiteY12" fmla="*/ 240030 h 1188720"/>
            <a:gd name="connsiteX13" fmla="*/ 628650 w 1443990"/>
            <a:gd name="connsiteY13" fmla="*/ 293370 h 1188720"/>
            <a:gd name="connsiteX14" fmla="*/ 689610 w 1443990"/>
            <a:gd name="connsiteY14" fmla="*/ 285750 h 1188720"/>
            <a:gd name="connsiteX15" fmla="*/ 723900 w 1443990"/>
            <a:gd name="connsiteY15" fmla="*/ 213360 h 1188720"/>
            <a:gd name="connsiteX16" fmla="*/ 784860 w 1443990"/>
            <a:gd name="connsiteY16" fmla="*/ 228600 h 1188720"/>
            <a:gd name="connsiteX17" fmla="*/ 876300 w 1443990"/>
            <a:gd name="connsiteY17" fmla="*/ 140970 h 1188720"/>
            <a:gd name="connsiteX18" fmla="*/ 895350 w 1443990"/>
            <a:gd name="connsiteY18" fmla="*/ 95250 h 1188720"/>
            <a:gd name="connsiteX19" fmla="*/ 948690 w 1443990"/>
            <a:gd name="connsiteY19" fmla="*/ 0 h 1188720"/>
            <a:gd name="connsiteX20" fmla="*/ 1097280 w 1443990"/>
            <a:gd name="connsiteY20" fmla="*/ 68580 h 1188720"/>
            <a:gd name="connsiteX21" fmla="*/ 1116330 w 1443990"/>
            <a:gd name="connsiteY21" fmla="*/ 11430 h 1188720"/>
            <a:gd name="connsiteX22" fmla="*/ 1173480 w 1443990"/>
            <a:gd name="connsiteY22" fmla="*/ 15240 h 1188720"/>
            <a:gd name="connsiteX23" fmla="*/ 1181100 w 1443990"/>
            <a:gd name="connsiteY23" fmla="*/ 64770 h 1188720"/>
            <a:gd name="connsiteX24" fmla="*/ 1143000 w 1443990"/>
            <a:gd name="connsiteY24" fmla="*/ 95250 h 1188720"/>
            <a:gd name="connsiteX25" fmla="*/ 1139190 w 1443990"/>
            <a:gd name="connsiteY25" fmla="*/ 182880 h 1188720"/>
            <a:gd name="connsiteX26" fmla="*/ 1184910 w 1443990"/>
            <a:gd name="connsiteY26" fmla="*/ 167640 h 1188720"/>
            <a:gd name="connsiteX27" fmla="*/ 1211580 w 1443990"/>
            <a:gd name="connsiteY27" fmla="*/ 140970 h 1188720"/>
            <a:gd name="connsiteX28" fmla="*/ 1215390 w 1443990"/>
            <a:gd name="connsiteY28" fmla="*/ 205740 h 1188720"/>
            <a:gd name="connsiteX29" fmla="*/ 1162050 w 1443990"/>
            <a:gd name="connsiteY29" fmla="*/ 205740 h 1188720"/>
            <a:gd name="connsiteX30" fmla="*/ 1146810 w 1443990"/>
            <a:gd name="connsiteY30" fmla="*/ 243840 h 1188720"/>
            <a:gd name="connsiteX31" fmla="*/ 1211580 w 1443990"/>
            <a:gd name="connsiteY31" fmla="*/ 293370 h 1188720"/>
            <a:gd name="connsiteX32" fmla="*/ 1207770 w 1443990"/>
            <a:gd name="connsiteY32" fmla="*/ 346710 h 1188720"/>
            <a:gd name="connsiteX33" fmla="*/ 1272540 w 1443990"/>
            <a:gd name="connsiteY33" fmla="*/ 396240 h 1188720"/>
            <a:gd name="connsiteX34" fmla="*/ 1242060 w 1443990"/>
            <a:gd name="connsiteY34" fmla="*/ 445770 h 1188720"/>
            <a:gd name="connsiteX35" fmla="*/ 1192530 w 1443990"/>
            <a:gd name="connsiteY35" fmla="*/ 567690 h 1188720"/>
            <a:gd name="connsiteX36" fmla="*/ 1238250 w 1443990"/>
            <a:gd name="connsiteY36" fmla="*/ 582930 h 1188720"/>
            <a:gd name="connsiteX37" fmla="*/ 1230630 w 1443990"/>
            <a:gd name="connsiteY37" fmla="*/ 628650 h 1188720"/>
            <a:gd name="connsiteX38" fmla="*/ 1268730 w 1443990"/>
            <a:gd name="connsiteY38" fmla="*/ 655320 h 1188720"/>
            <a:gd name="connsiteX39" fmla="*/ 1303020 w 1443990"/>
            <a:gd name="connsiteY39" fmla="*/ 628650 h 1188720"/>
            <a:gd name="connsiteX40" fmla="*/ 1333500 w 1443990"/>
            <a:gd name="connsiteY40" fmla="*/ 579120 h 1188720"/>
            <a:gd name="connsiteX41" fmla="*/ 1363980 w 1443990"/>
            <a:gd name="connsiteY41" fmla="*/ 624840 h 1188720"/>
            <a:gd name="connsiteX42" fmla="*/ 1443990 w 1443990"/>
            <a:gd name="connsiteY42" fmla="*/ 662940 h 1188720"/>
            <a:gd name="connsiteX43" fmla="*/ 1413510 w 1443990"/>
            <a:gd name="connsiteY43" fmla="*/ 704850 h 1188720"/>
            <a:gd name="connsiteX44" fmla="*/ 1318260 w 1443990"/>
            <a:gd name="connsiteY44" fmla="*/ 685800 h 1188720"/>
            <a:gd name="connsiteX45" fmla="*/ 1306830 w 1443990"/>
            <a:gd name="connsiteY45" fmla="*/ 796290 h 1188720"/>
            <a:gd name="connsiteX46" fmla="*/ 1234440 w 1443990"/>
            <a:gd name="connsiteY46" fmla="*/ 784860 h 1188720"/>
            <a:gd name="connsiteX47" fmla="*/ 1165860 w 1443990"/>
            <a:gd name="connsiteY47" fmla="*/ 708660 h 1188720"/>
            <a:gd name="connsiteX48" fmla="*/ 1070610 w 1443990"/>
            <a:gd name="connsiteY48" fmla="*/ 762000 h 1188720"/>
            <a:gd name="connsiteX49" fmla="*/ 1070610 w 1443990"/>
            <a:gd name="connsiteY49" fmla="*/ 826770 h 1188720"/>
            <a:gd name="connsiteX50" fmla="*/ 994410 w 1443990"/>
            <a:gd name="connsiteY50" fmla="*/ 834390 h 1188720"/>
            <a:gd name="connsiteX51" fmla="*/ 922020 w 1443990"/>
            <a:gd name="connsiteY51" fmla="*/ 880110 h 1188720"/>
            <a:gd name="connsiteX52" fmla="*/ 883920 w 1443990"/>
            <a:gd name="connsiteY52" fmla="*/ 982980 h 1188720"/>
            <a:gd name="connsiteX53" fmla="*/ 792480 w 1443990"/>
            <a:gd name="connsiteY53" fmla="*/ 1017270 h 1188720"/>
            <a:gd name="connsiteX54" fmla="*/ 746760 w 1443990"/>
            <a:gd name="connsiteY54" fmla="*/ 1085850 h 1188720"/>
            <a:gd name="connsiteX55" fmla="*/ 792480 w 1443990"/>
            <a:gd name="connsiteY55" fmla="*/ 1139190 h 1188720"/>
            <a:gd name="connsiteX56" fmla="*/ 746760 w 1443990"/>
            <a:gd name="connsiteY56" fmla="*/ 1188720 h 1188720"/>
            <a:gd name="connsiteX57" fmla="*/ 720090 w 1443990"/>
            <a:gd name="connsiteY57" fmla="*/ 1162050 h 1188720"/>
            <a:gd name="connsiteX58" fmla="*/ 655320 w 1443990"/>
            <a:gd name="connsiteY58" fmla="*/ 1169670 h 1188720"/>
            <a:gd name="connsiteX59" fmla="*/ 548640 w 1443990"/>
            <a:gd name="connsiteY59" fmla="*/ 1104900 h 1188720"/>
            <a:gd name="connsiteX60" fmla="*/ 396240 w 1443990"/>
            <a:gd name="connsiteY60" fmla="*/ 1169670 h 1188720"/>
            <a:gd name="connsiteX61" fmla="*/ 240030 w 1443990"/>
            <a:gd name="connsiteY61" fmla="*/ 1024890 h 1188720"/>
            <a:gd name="connsiteX62" fmla="*/ 270510 w 1443990"/>
            <a:gd name="connsiteY62" fmla="*/ 960120 h 1188720"/>
            <a:gd name="connsiteX63" fmla="*/ 243840 w 1443990"/>
            <a:gd name="connsiteY63" fmla="*/ 880110 h 1188720"/>
            <a:gd name="connsiteX64" fmla="*/ 259080 w 1443990"/>
            <a:gd name="connsiteY64" fmla="*/ 830580 h 1188720"/>
            <a:gd name="connsiteX65" fmla="*/ 243840 w 1443990"/>
            <a:gd name="connsiteY65" fmla="*/ 784860 h 1188720"/>
            <a:gd name="connsiteX66" fmla="*/ 152400 w 1443990"/>
            <a:gd name="connsiteY66" fmla="*/ 800100 h 1188720"/>
            <a:gd name="connsiteX67" fmla="*/ 38100 w 1443990"/>
            <a:gd name="connsiteY67" fmla="*/ 693420 h 1188720"/>
            <a:gd name="connsiteX68" fmla="*/ 0 w 1443990"/>
            <a:gd name="connsiteY68" fmla="*/ 689610 h 1188720"/>
            <a:gd name="connsiteX69" fmla="*/ 57150 w 1443990"/>
            <a:gd name="connsiteY69" fmla="*/ 636270 h 1188720"/>
            <a:gd name="connsiteX70" fmla="*/ 194310 w 1443990"/>
            <a:gd name="connsiteY70" fmla="*/ 419100 h 1188720"/>
            <a:gd name="connsiteX71" fmla="*/ 152400 w 1443990"/>
            <a:gd name="connsiteY71" fmla="*/ 384810 h 1188720"/>
            <a:gd name="connsiteX72" fmla="*/ 140970 w 1443990"/>
            <a:gd name="connsiteY72" fmla="*/ 297180 h 1188720"/>
            <a:gd name="connsiteX73" fmla="*/ 64770 w 1443990"/>
            <a:gd name="connsiteY73" fmla="*/ 266700 h 1188720"/>
            <a:gd name="connsiteX74" fmla="*/ 45720 w 1443990"/>
            <a:gd name="connsiteY74" fmla="*/ 190500 h 1188720"/>
            <a:gd name="connsiteX0" fmla="*/ 45720 w 1443990"/>
            <a:gd name="connsiteY0" fmla="*/ 190500 h 1188720"/>
            <a:gd name="connsiteX1" fmla="*/ 140970 w 1443990"/>
            <a:gd name="connsiteY1" fmla="*/ 205740 h 1188720"/>
            <a:gd name="connsiteX2" fmla="*/ 171450 w 1443990"/>
            <a:gd name="connsiteY2" fmla="*/ 236220 h 1188720"/>
            <a:gd name="connsiteX3" fmla="*/ 259080 w 1443990"/>
            <a:gd name="connsiteY3" fmla="*/ 255270 h 1188720"/>
            <a:gd name="connsiteX4" fmla="*/ 308610 w 1443990"/>
            <a:gd name="connsiteY4" fmla="*/ 201930 h 1188720"/>
            <a:gd name="connsiteX5" fmla="*/ 331470 w 1443990"/>
            <a:gd name="connsiteY5" fmla="*/ 209550 h 1188720"/>
            <a:gd name="connsiteX6" fmla="*/ 358140 w 1443990"/>
            <a:gd name="connsiteY6" fmla="*/ 243840 h 1188720"/>
            <a:gd name="connsiteX7" fmla="*/ 403860 w 1443990"/>
            <a:gd name="connsiteY7" fmla="*/ 220980 h 1188720"/>
            <a:gd name="connsiteX8" fmla="*/ 487680 w 1443990"/>
            <a:gd name="connsiteY8" fmla="*/ 274320 h 1188720"/>
            <a:gd name="connsiteX9" fmla="*/ 518160 w 1443990"/>
            <a:gd name="connsiteY9" fmla="*/ 270510 h 1188720"/>
            <a:gd name="connsiteX10" fmla="*/ 548640 w 1443990"/>
            <a:gd name="connsiteY10" fmla="*/ 289560 h 1188720"/>
            <a:gd name="connsiteX11" fmla="*/ 567690 w 1443990"/>
            <a:gd name="connsiteY11" fmla="*/ 251460 h 1188720"/>
            <a:gd name="connsiteX12" fmla="*/ 590550 w 1443990"/>
            <a:gd name="connsiteY12" fmla="*/ 240030 h 1188720"/>
            <a:gd name="connsiteX13" fmla="*/ 628650 w 1443990"/>
            <a:gd name="connsiteY13" fmla="*/ 293370 h 1188720"/>
            <a:gd name="connsiteX14" fmla="*/ 689610 w 1443990"/>
            <a:gd name="connsiteY14" fmla="*/ 285750 h 1188720"/>
            <a:gd name="connsiteX15" fmla="*/ 723900 w 1443990"/>
            <a:gd name="connsiteY15" fmla="*/ 213360 h 1188720"/>
            <a:gd name="connsiteX16" fmla="*/ 784860 w 1443990"/>
            <a:gd name="connsiteY16" fmla="*/ 228600 h 1188720"/>
            <a:gd name="connsiteX17" fmla="*/ 876300 w 1443990"/>
            <a:gd name="connsiteY17" fmla="*/ 140970 h 1188720"/>
            <a:gd name="connsiteX18" fmla="*/ 895350 w 1443990"/>
            <a:gd name="connsiteY18" fmla="*/ 95250 h 1188720"/>
            <a:gd name="connsiteX19" fmla="*/ 948690 w 1443990"/>
            <a:gd name="connsiteY19" fmla="*/ 0 h 1188720"/>
            <a:gd name="connsiteX20" fmla="*/ 1097280 w 1443990"/>
            <a:gd name="connsiteY20" fmla="*/ 68580 h 1188720"/>
            <a:gd name="connsiteX21" fmla="*/ 1116330 w 1443990"/>
            <a:gd name="connsiteY21" fmla="*/ 11430 h 1188720"/>
            <a:gd name="connsiteX22" fmla="*/ 1173480 w 1443990"/>
            <a:gd name="connsiteY22" fmla="*/ 15240 h 1188720"/>
            <a:gd name="connsiteX23" fmla="*/ 1181100 w 1443990"/>
            <a:gd name="connsiteY23" fmla="*/ 64770 h 1188720"/>
            <a:gd name="connsiteX24" fmla="*/ 1143000 w 1443990"/>
            <a:gd name="connsiteY24" fmla="*/ 95250 h 1188720"/>
            <a:gd name="connsiteX25" fmla="*/ 1139190 w 1443990"/>
            <a:gd name="connsiteY25" fmla="*/ 182880 h 1188720"/>
            <a:gd name="connsiteX26" fmla="*/ 1184910 w 1443990"/>
            <a:gd name="connsiteY26" fmla="*/ 167640 h 1188720"/>
            <a:gd name="connsiteX27" fmla="*/ 1211580 w 1443990"/>
            <a:gd name="connsiteY27" fmla="*/ 140970 h 1188720"/>
            <a:gd name="connsiteX28" fmla="*/ 1215390 w 1443990"/>
            <a:gd name="connsiteY28" fmla="*/ 205740 h 1188720"/>
            <a:gd name="connsiteX29" fmla="*/ 1162050 w 1443990"/>
            <a:gd name="connsiteY29" fmla="*/ 205740 h 1188720"/>
            <a:gd name="connsiteX30" fmla="*/ 1146810 w 1443990"/>
            <a:gd name="connsiteY30" fmla="*/ 243840 h 1188720"/>
            <a:gd name="connsiteX31" fmla="*/ 1211580 w 1443990"/>
            <a:gd name="connsiteY31" fmla="*/ 293370 h 1188720"/>
            <a:gd name="connsiteX32" fmla="*/ 1207770 w 1443990"/>
            <a:gd name="connsiteY32" fmla="*/ 346710 h 1188720"/>
            <a:gd name="connsiteX33" fmla="*/ 1272540 w 1443990"/>
            <a:gd name="connsiteY33" fmla="*/ 396240 h 1188720"/>
            <a:gd name="connsiteX34" fmla="*/ 1242060 w 1443990"/>
            <a:gd name="connsiteY34" fmla="*/ 445770 h 1188720"/>
            <a:gd name="connsiteX35" fmla="*/ 1192530 w 1443990"/>
            <a:gd name="connsiteY35" fmla="*/ 567690 h 1188720"/>
            <a:gd name="connsiteX36" fmla="*/ 1238250 w 1443990"/>
            <a:gd name="connsiteY36" fmla="*/ 582930 h 1188720"/>
            <a:gd name="connsiteX37" fmla="*/ 1230630 w 1443990"/>
            <a:gd name="connsiteY37" fmla="*/ 628650 h 1188720"/>
            <a:gd name="connsiteX38" fmla="*/ 1268730 w 1443990"/>
            <a:gd name="connsiteY38" fmla="*/ 655320 h 1188720"/>
            <a:gd name="connsiteX39" fmla="*/ 1303020 w 1443990"/>
            <a:gd name="connsiteY39" fmla="*/ 628650 h 1188720"/>
            <a:gd name="connsiteX40" fmla="*/ 1333500 w 1443990"/>
            <a:gd name="connsiteY40" fmla="*/ 579120 h 1188720"/>
            <a:gd name="connsiteX41" fmla="*/ 1363980 w 1443990"/>
            <a:gd name="connsiteY41" fmla="*/ 624840 h 1188720"/>
            <a:gd name="connsiteX42" fmla="*/ 1443990 w 1443990"/>
            <a:gd name="connsiteY42" fmla="*/ 662940 h 1188720"/>
            <a:gd name="connsiteX43" fmla="*/ 1413510 w 1443990"/>
            <a:gd name="connsiteY43" fmla="*/ 704850 h 1188720"/>
            <a:gd name="connsiteX44" fmla="*/ 1318260 w 1443990"/>
            <a:gd name="connsiteY44" fmla="*/ 685800 h 1188720"/>
            <a:gd name="connsiteX45" fmla="*/ 1306830 w 1443990"/>
            <a:gd name="connsiteY45" fmla="*/ 796290 h 1188720"/>
            <a:gd name="connsiteX46" fmla="*/ 1234440 w 1443990"/>
            <a:gd name="connsiteY46" fmla="*/ 784860 h 1188720"/>
            <a:gd name="connsiteX47" fmla="*/ 1165860 w 1443990"/>
            <a:gd name="connsiteY47" fmla="*/ 708660 h 1188720"/>
            <a:gd name="connsiteX48" fmla="*/ 1070610 w 1443990"/>
            <a:gd name="connsiteY48" fmla="*/ 762000 h 1188720"/>
            <a:gd name="connsiteX49" fmla="*/ 1070610 w 1443990"/>
            <a:gd name="connsiteY49" fmla="*/ 826770 h 1188720"/>
            <a:gd name="connsiteX50" fmla="*/ 994410 w 1443990"/>
            <a:gd name="connsiteY50" fmla="*/ 834390 h 1188720"/>
            <a:gd name="connsiteX51" fmla="*/ 922020 w 1443990"/>
            <a:gd name="connsiteY51" fmla="*/ 880110 h 1188720"/>
            <a:gd name="connsiteX52" fmla="*/ 883920 w 1443990"/>
            <a:gd name="connsiteY52" fmla="*/ 982980 h 1188720"/>
            <a:gd name="connsiteX53" fmla="*/ 792480 w 1443990"/>
            <a:gd name="connsiteY53" fmla="*/ 1017270 h 1188720"/>
            <a:gd name="connsiteX54" fmla="*/ 746760 w 1443990"/>
            <a:gd name="connsiteY54" fmla="*/ 1085850 h 1188720"/>
            <a:gd name="connsiteX55" fmla="*/ 804369 w 1443990"/>
            <a:gd name="connsiteY55" fmla="*/ 1124902 h 1188720"/>
            <a:gd name="connsiteX56" fmla="*/ 746760 w 1443990"/>
            <a:gd name="connsiteY56" fmla="*/ 1188720 h 1188720"/>
            <a:gd name="connsiteX57" fmla="*/ 720090 w 1443990"/>
            <a:gd name="connsiteY57" fmla="*/ 1162050 h 1188720"/>
            <a:gd name="connsiteX58" fmla="*/ 655320 w 1443990"/>
            <a:gd name="connsiteY58" fmla="*/ 1169670 h 1188720"/>
            <a:gd name="connsiteX59" fmla="*/ 548640 w 1443990"/>
            <a:gd name="connsiteY59" fmla="*/ 1104900 h 1188720"/>
            <a:gd name="connsiteX60" fmla="*/ 396240 w 1443990"/>
            <a:gd name="connsiteY60" fmla="*/ 1169670 h 1188720"/>
            <a:gd name="connsiteX61" fmla="*/ 240030 w 1443990"/>
            <a:gd name="connsiteY61" fmla="*/ 1024890 h 1188720"/>
            <a:gd name="connsiteX62" fmla="*/ 270510 w 1443990"/>
            <a:gd name="connsiteY62" fmla="*/ 960120 h 1188720"/>
            <a:gd name="connsiteX63" fmla="*/ 243840 w 1443990"/>
            <a:gd name="connsiteY63" fmla="*/ 880110 h 1188720"/>
            <a:gd name="connsiteX64" fmla="*/ 259080 w 1443990"/>
            <a:gd name="connsiteY64" fmla="*/ 830580 h 1188720"/>
            <a:gd name="connsiteX65" fmla="*/ 243840 w 1443990"/>
            <a:gd name="connsiteY65" fmla="*/ 784860 h 1188720"/>
            <a:gd name="connsiteX66" fmla="*/ 152400 w 1443990"/>
            <a:gd name="connsiteY66" fmla="*/ 800100 h 1188720"/>
            <a:gd name="connsiteX67" fmla="*/ 38100 w 1443990"/>
            <a:gd name="connsiteY67" fmla="*/ 693420 h 1188720"/>
            <a:gd name="connsiteX68" fmla="*/ 0 w 1443990"/>
            <a:gd name="connsiteY68" fmla="*/ 689610 h 1188720"/>
            <a:gd name="connsiteX69" fmla="*/ 57150 w 1443990"/>
            <a:gd name="connsiteY69" fmla="*/ 636270 h 1188720"/>
            <a:gd name="connsiteX70" fmla="*/ 194310 w 1443990"/>
            <a:gd name="connsiteY70" fmla="*/ 419100 h 1188720"/>
            <a:gd name="connsiteX71" fmla="*/ 152400 w 1443990"/>
            <a:gd name="connsiteY71" fmla="*/ 384810 h 1188720"/>
            <a:gd name="connsiteX72" fmla="*/ 140970 w 1443990"/>
            <a:gd name="connsiteY72" fmla="*/ 297180 h 1188720"/>
            <a:gd name="connsiteX73" fmla="*/ 64770 w 1443990"/>
            <a:gd name="connsiteY73" fmla="*/ 266700 h 1188720"/>
            <a:gd name="connsiteX74" fmla="*/ 45720 w 1443990"/>
            <a:gd name="connsiteY74" fmla="*/ 190500 h 1188720"/>
            <a:gd name="connsiteX0" fmla="*/ 45720 w 1443990"/>
            <a:gd name="connsiteY0" fmla="*/ 190500 h 1188720"/>
            <a:gd name="connsiteX1" fmla="*/ 140970 w 1443990"/>
            <a:gd name="connsiteY1" fmla="*/ 205740 h 1188720"/>
            <a:gd name="connsiteX2" fmla="*/ 171450 w 1443990"/>
            <a:gd name="connsiteY2" fmla="*/ 236220 h 1188720"/>
            <a:gd name="connsiteX3" fmla="*/ 259080 w 1443990"/>
            <a:gd name="connsiteY3" fmla="*/ 255270 h 1188720"/>
            <a:gd name="connsiteX4" fmla="*/ 308610 w 1443990"/>
            <a:gd name="connsiteY4" fmla="*/ 201930 h 1188720"/>
            <a:gd name="connsiteX5" fmla="*/ 331470 w 1443990"/>
            <a:gd name="connsiteY5" fmla="*/ 209550 h 1188720"/>
            <a:gd name="connsiteX6" fmla="*/ 358140 w 1443990"/>
            <a:gd name="connsiteY6" fmla="*/ 243840 h 1188720"/>
            <a:gd name="connsiteX7" fmla="*/ 403860 w 1443990"/>
            <a:gd name="connsiteY7" fmla="*/ 220980 h 1188720"/>
            <a:gd name="connsiteX8" fmla="*/ 487680 w 1443990"/>
            <a:gd name="connsiteY8" fmla="*/ 274320 h 1188720"/>
            <a:gd name="connsiteX9" fmla="*/ 518160 w 1443990"/>
            <a:gd name="connsiteY9" fmla="*/ 270510 h 1188720"/>
            <a:gd name="connsiteX10" fmla="*/ 548640 w 1443990"/>
            <a:gd name="connsiteY10" fmla="*/ 289560 h 1188720"/>
            <a:gd name="connsiteX11" fmla="*/ 567690 w 1443990"/>
            <a:gd name="connsiteY11" fmla="*/ 251460 h 1188720"/>
            <a:gd name="connsiteX12" fmla="*/ 590550 w 1443990"/>
            <a:gd name="connsiteY12" fmla="*/ 240030 h 1188720"/>
            <a:gd name="connsiteX13" fmla="*/ 628650 w 1443990"/>
            <a:gd name="connsiteY13" fmla="*/ 293370 h 1188720"/>
            <a:gd name="connsiteX14" fmla="*/ 689610 w 1443990"/>
            <a:gd name="connsiteY14" fmla="*/ 285750 h 1188720"/>
            <a:gd name="connsiteX15" fmla="*/ 723900 w 1443990"/>
            <a:gd name="connsiteY15" fmla="*/ 213360 h 1188720"/>
            <a:gd name="connsiteX16" fmla="*/ 784860 w 1443990"/>
            <a:gd name="connsiteY16" fmla="*/ 228600 h 1188720"/>
            <a:gd name="connsiteX17" fmla="*/ 876300 w 1443990"/>
            <a:gd name="connsiteY17" fmla="*/ 140970 h 1188720"/>
            <a:gd name="connsiteX18" fmla="*/ 895350 w 1443990"/>
            <a:gd name="connsiteY18" fmla="*/ 95250 h 1188720"/>
            <a:gd name="connsiteX19" fmla="*/ 948690 w 1443990"/>
            <a:gd name="connsiteY19" fmla="*/ 0 h 1188720"/>
            <a:gd name="connsiteX20" fmla="*/ 1097280 w 1443990"/>
            <a:gd name="connsiteY20" fmla="*/ 68580 h 1188720"/>
            <a:gd name="connsiteX21" fmla="*/ 1116330 w 1443990"/>
            <a:gd name="connsiteY21" fmla="*/ 11430 h 1188720"/>
            <a:gd name="connsiteX22" fmla="*/ 1173480 w 1443990"/>
            <a:gd name="connsiteY22" fmla="*/ 15240 h 1188720"/>
            <a:gd name="connsiteX23" fmla="*/ 1181100 w 1443990"/>
            <a:gd name="connsiteY23" fmla="*/ 64770 h 1188720"/>
            <a:gd name="connsiteX24" fmla="*/ 1143000 w 1443990"/>
            <a:gd name="connsiteY24" fmla="*/ 95250 h 1188720"/>
            <a:gd name="connsiteX25" fmla="*/ 1139190 w 1443990"/>
            <a:gd name="connsiteY25" fmla="*/ 182880 h 1188720"/>
            <a:gd name="connsiteX26" fmla="*/ 1184910 w 1443990"/>
            <a:gd name="connsiteY26" fmla="*/ 167640 h 1188720"/>
            <a:gd name="connsiteX27" fmla="*/ 1211580 w 1443990"/>
            <a:gd name="connsiteY27" fmla="*/ 140970 h 1188720"/>
            <a:gd name="connsiteX28" fmla="*/ 1215390 w 1443990"/>
            <a:gd name="connsiteY28" fmla="*/ 205740 h 1188720"/>
            <a:gd name="connsiteX29" fmla="*/ 1162050 w 1443990"/>
            <a:gd name="connsiteY29" fmla="*/ 205740 h 1188720"/>
            <a:gd name="connsiteX30" fmla="*/ 1146810 w 1443990"/>
            <a:gd name="connsiteY30" fmla="*/ 243840 h 1188720"/>
            <a:gd name="connsiteX31" fmla="*/ 1211580 w 1443990"/>
            <a:gd name="connsiteY31" fmla="*/ 293370 h 1188720"/>
            <a:gd name="connsiteX32" fmla="*/ 1207770 w 1443990"/>
            <a:gd name="connsiteY32" fmla="*/ 346710 h 1188720"/>
            <a:gd name="connsiteX33" fmla="*/ 1272540 w 1443990"/>
            <a:gd name="connsiteY33" fmla="*/ 396240 h 1188720"/>
            <a:gd name="connsiteX34" fmla="*/ 1242060 w 1443990"/>
            <a:gd name="connsiteY34" fmla="*/ 445770 h 1188720"/>
            <a:gd name="connsiteX35" fmla="*/ 1192530 w 1443990"/>
            <a:gd name="connsiteY35" fmla="*/ 567690 h 1188720"/>
            <a:gd name="connsiteX36" fmla="*/ 1238250 w 1443990"/>
            <a:gd name="connsiteY36" fmla="*/ 582930 h 1188720"/>
            <a:gd name="connsiteX37" fmla="*/ 1230630 w 1443990"/>
            <a:gd name="connsiteY37" fmla="*/ 628650 h 1188720"/>
            <a:gd name="connsiteX38" fmla="*/ 1268730 w 1443990"/>
            <a:gd name="connsiteY38" fmla="*/ 655320 h 1188720"/>
            <a:gd name="connsiteX39" fmla="*/ 1303020 w 1443990"/>
            <a:gd name="connsiteY39" fmla="*/ 628650 h 1188720"/>
            <a:gd name="connsiteX40" fmla="*/ 1333500 w 1443990"/>
            <a:gd name="connsiteY40" fmla="*/ 579120 h 1188720"/>
            <a:gd name="connsiteX41" fmla="*/ 1363980 w 1443990"/>
            <a:gd name="connsiteY41" fmla="*/ 624840 h 1188720"/>
            <a:gd name="connsiteX42" fmla="*/ 1443990 w 1443990"/>
            <a:gd name="connsiteY42" fmla="*/ 662940 h 1188720"/>
            <a:gd name="connsiteX43" fmla="*/ 1413510 w 1443990"/>
            <a:gd name="connsiteY43" fmla="*/ 704850 h 1188720"/>
            <a:gd name="connsiteX44" fmla="*/ 1318260 w 1443990"/>
            <a:gd name="connsiteY44" fmla="*/ 685800 h 1188720"/>
            <a:gd name="connsiteX45" fmla="*/ 1306830 w 1443990"/>
            <a:gd name="connsiteY45" fmla="*/ 796290 h 1188720"/>
            <a:gd name="connsiteX46" fmla="*/ 1234440 w 1443990"/>
            <a:gd name="connsiteY46" fmla="*/ 784860 h 1188720"/>
            <a:gd name="connsiteX47" fmla="*/ 1165860 w 1443990"/>
            <a:gd name="connsiteY47" fmla="*/ 708660 h 1188720"/>
            <a:gd name="connsiteX48" fmla="*/ 1070610 w 1443990"/>
            <a:gd name="connsiteY48" fmla="*/ 762000 h 1188720"/>
            <a:gd name="connsiteX49" fmla="*/ 1070610 w 1443990"/>
            <a:gd name="connsiteY49" fmla="*/ 826770 h 1188720"/>
            <a:gd name="connsiteX50" fmla="*/ 994410 w 1443990"/>
            <a:gd name="connsiteY50" fmla="*/ 834390 h 1188720"/>
            <a:gd name="connsiteX51" fmla="*/ 922020 w 1443990"/>
            <a:gd name="connsiteY51" fmla="*/ 880110 h 1188720"/>
            <a:gd name="connsiteX52" fmla="*/ 883920 w 1443990"/>
            <a:gd name="connsiteY52" fmla="*/ 982980 h 1188720"/>
            <a:gd name="connsiteX53" fmla="*/ 794859 w 1443990"/>
            <a:gd name="connsiteY53" fmla="*/ 1024414 h 1188720"/>
            <a:gd name="connsiteX54" fmla="*/ 746760 w 1443990"/>
            <a:gd name="connsiteY54" fmla="*/ 1085850 h 1188720"/>
            <a:gd name="connsiteX55" fmla="*/ 804369 w 1443990"/>
            <a:gd name="connsiteY55" fmla="*/ 1124902 h 1188720"/>
            <a:gd name="connsiteX56" fmla="*/ 746760 w 1443990"/>
            <a:gd name="connsiteY56" fmla="*/ 1188720 h 1188720"/>
            <a:gd name="connsiteX57" fmla="*/ 720090 w 1443990"/>
            <a:gd name="connsiteY57" fmla="*/ 1162050 h 1188720"/>
            <a:gd name="connsiteX58" fmla="*/ 655320 w 1443990"/>
            <a:gd name="connsiteY58" fmla="*/ 1169670 h 1188720"/>
            <a:gd name="connsiteX59" fmla="*/ 548640 w 1443990"/>
            <a:gd name="connsiteY59" fmla="*/ 1104900 h 1188720"/>
            <a:gd name="connsiteX60" fmla="*/ 396240 w 1443990"/>
            <a:gd name="connsiteY60" fmla="*/ 1169670 h 1188720"/>
            <a:gd name="connsiteX61" fmla="*/ 240030 w 1443990"/>
            <a:gd name="connsiteY61" fmla="*/ 1024890 h 1188720"/>
            <a:gd name="connsiteX62" fmla="*/ 270510 w 1443990"/>
            <a:gd name="connsiteY62" fmla="*/ 960120 h 1188720"/>
            <a:gd name="connsiteX63" fmla="*/ 243840 w 1443990"/>
            <a:gd name="connsiteY63" fmla="*/ 880110 h 1188720"/>
            <a:gd name="connsiteX64" fmla="*/ 259080 w 1443990"/>
            <a:gd name="connsiteY64" fmla="*/ 830580 h 1188720"/>
            <a:gd name="connsiteX65" fmla="*/ 243840 w 1443990"/>
            <a:gd name="connsiteY65" fmla="*/ 784860 h 1188720"/>
            <a:gd name="connsiteX66" fmla="*/ 152400 w 1443990"/>
            <a:gd name="connsiteY66" fmla="*/ 800100 h 1188720"/>
            <a:gd name="connsiteX67" fmla="*/ 38100 w 1443990"/>
            <a:gd name="connsiteY67" fmla="*/ 693420 h 1188720"/>
            <a:gd name="connsiteX68" fmla="*/ 0 w 1443990"/>
            <a:gd name="connsiteY68" fmla="*/ 689610 h 1188720"/>
            <a:gd name="connsiteX69" fmla="*/ 57150 w 1443990"/>
            <a:gd name="connsiteY69" fmla="*/ 636270 h 1188720"/>
            <a:gd name="connsiteX70" fmla="*/ 194310 w 1443990"/>
            <a:gd name="connsiteY70" fmla="*/ 419100 h 1188720"/>
            <a:gd name="connsiteX71" fmla="*/ 152400 w 1443990"/>
            <a:gd name="connsiteY71" fmla="*/ 384810 h 1188720"/>
            <a:gd name="connsiteX72" fmla="*/ 140970 w 1443990"/>
            <a:gd name="connsiteY72" fmla="*/ 297180 h 1188720"/>
            <a:gd name="connsiteX73" fmla="*/ 64770 w 1443990"/>
            <a:gd name="connsiteY73" fmla="*/ 266700 h 1188720"/>
            <a:gd name="connsiteX74" fmla="*/ 45720 w 1443990"/>
            <a:gd name="connsiteY74" fmla="*/ 190500 h 1188720"/>
            <a:gd name="connsiteX0" fmla="*/ 45720 w 1443990"/>
            <a:gd name="connsiteY0" fmla="*/ 190500 h 1188720"/>
            <a:gd name="connsiteX1" fmla="*/ 140970 w 1443990"/>
            <a:gd name="connsiteY1" fmla="*/ 205740 h 1188720"/>
            <a:gd name="connsiteX2" fmla="*/ 171450 w 1443990"/>
            <a:gd name="connsiteY2" fmla="*/ 236220 h 1188720"/>
            <a:gd name="connsiteX3" fmla="*/ 259080 w 1443990"/>
            <a:gd name="connsiteY3" fmla="*/ 255270 h 1188720"/>
            <a:gd name="connsiteX4" fmla="*/ 308610 w 1443990"/>
            <a:gd name="connsiteY4" fmla="*/ 201930 h 1188720"/>
            <a:gd name="connsiteX5" fmla="*/ 331470 w 1443990"/>
            <a:gd name="connsiteY5" fmla="*/ 209550 h 1188720"/>
            <a:gd name="connsiteX6" fmla="*/ 358140 w 1443990"/>
            <a:gd name="connsiteY6" fmla="*/ 243840 h 1188720"/>
            <a:gd name="connsiteX7" fmla="*/ 403860 w 1443990"/>
            <a:gd name="connsiteY7" fmla="*/ 220980 h 1188720"/>
            <a:gd name="connsiteX8" fmla="*/ 487680 w 1443990"/>
            <a:gd name="connsiteY8" fmla="*/ 274320 h 1188720"/>
            <a:gd name="connsiteX9" fmla="*/ 518160 w 1443990"/>
            <a:gd name="connsiteY9" fmla="*/ 270510 h 1188720"/>
            <a:gd name="connsiteX10" fmla="*/ 548640 w 1443990"/>
            <a:gd name="connsiteY10" fmla="*/ 289560 h 1188720"/>
            <a:gd name="connsiteX11" fmla="*/ 567690 w 1443990"/>
            <a:gd name="connsiteY11" fmla="*/ 251460 h 1188720"/>
            <a:gd name="connsiteX12" fmla="*/ 590550 w 1443990"/>
            <a:gd name="connsiteY12" fmla="*/ 240030 h 1188720"/>
            <a:gd name="connsiteX13" fmla="*/ 628650 w 1443990"/>
            <a:gd name="connsiteY13" fmla="*/ 293370 h 1188720"/>
            <a:gd name="connsiteX14" fmla="*/ 689610 w 1443990"/>
            <a:gd name="connsiteY14" fmla="*/ 285750 h 1188720"/>
            <a:gd name="connsiteX15" fmla="*/ 723900 w 1443990"/>
            <a:gd name="connsiteY15" fmla="*/ 213360 h 1188720"/>
            <a:gd name="connsiteX16" fmla="*/ 784860 w 1443990"/>
            <a:gd name="connsiteY16" fmla="*/ 228600 h 1188720"/>
            <a:gd name="connsiteX17" fmla="*/ 876300 w 1443990"/>
            <a:gd name="connsiteY17" fmla="*/ 140970 h 1188720"/>
            <a:gd name="connsiteX18" fmla="*/ 895350 w 1443990"/>
            <a:gd name="connsiteY18" fmla="*/ 95250 h 1188720"/>
            <a:gd name="connsiteX19" fmla="*/ 948690 w 1443990"/>
            <a:gd name="connsiteY19" fmla="*/ 0 h 1188720"/>
            <a:gd name="connsiteX20" fmla="*/ 1097280 w 1443990"/>
            <a:gd name="connsiteY20" fmla="*/ 68580 h 1188720"/>
            <a:gd name="connsiteX21" fmla="*/ 1116330 w 1443990"/>
            <a:gd name="connsiteY21" fmla="*/ 11430 h 1188720"/>
            <a:gd name="connsiteX22" fmla="*/ 1173480 w 1443990"/>
            <a:gd name="connsiteY22" fmla="*/ 15240 h 1188720"/>
            <a:gd name="connsiteX23" fmla="*/ 1181100 w 1443990"/>
            <a:gd name="connsiteY23" fmla="*/ 64770 h 1188720"/>
            <a:gd name="connsiteX24" fmla="*/ 1143000 w 1443990"/>
            <a:gd name="connsiteY24" fmla="*/ 95250 h 1188720"/>
            <a:gd name="connsiteX25" fmla="*/ 1139190 w 1443990"/>
            <a:gd name="connsiteY25" fmla="*/ 182880 h 1188720"/>
            <a:gd name="connsiteX26" fmla="*/ 1184910 w 1443990"/>
            <a:gd name="connsiteY26" fmla="*/ 167640 h 1188720"/>
            <a:gd name="connsiteX27" fmla="*/ 1211580 w 1443990"/>
            <a:gd name="connsiteY27" fmla="*/ 140970 h 1188720"/>
            <a:gd name="connsiteX28" fmla="*/ 1215390 w 1443990"/>
            <a:gd name="connsiteY28" fmla="*/ 205740 h 1188720"/>
            <a:gd name="connsiteX29" fmla="*/ 1162050 w 1443990"/>
            <a:gd name="connsiteY29" fmla="*/ 205740 h 1188720"/>
            <a:gd name="connsiteX30" fmla="*/ 1146810 w 1443990"/>
            <a:gd name="connsiteY30" fmla="*/ 243840 h 1188720"/>
            <a:gd name="connsiteX31" fmla="*/ 1211580 w 1443990"/>
            <a:gd name="connsiteY31" fmla="*/ 293370 h 1188720"/>
            <a:gd name="connsiteX32" fmla="*/ 1207770 w 1443990"/>
            <a:gd name="connsiteY32" fmla="*/ 346710 h 1188720"/>
            <a:gd name="connsiteX33" fmla="*/ 1272540 w 1443990"/>
            <a:gd name="connsiteY33" fmla="*/ 396240 h 1188720"/>
            <a:gd name="connsiteX34" fmla="*/ 1242060 w 1443990"/>
            <a:gd name="connsiteY34" fmla="*/ 445770 h 1188720"/>
            <a:gd name="connsiteX35" fmla="*/ 1192530 w 1443990"/>
            <a:gd name="connsiteY35" fmla="*/ 567690 h 1188720"/>
            <a:gd name="connsiteX36" fmla="*/ 1238250 w 1443990"/>
            <a:gd name="connsiteY36" fmla="*/ 582930 h 1188720"/>
            <a:gd name="connsiteX37" fmla="*/ 1230630 w 1443990"/>
            <a:gd name="connsiteY37" fmla="*/ 628650 h 1188720"/>
            <a:gd name="connsiteX38" fmla="*/ 1268730 w 1443990"/>
            <a:gd name="connsiteY38" fmla="*/ 655320 h 1188720"/>
            <a:gd name="connsiteX39" fmla="*/ 1303020 w 1443990"/>
            <a:gd name="connsiteY39" fmla="*/ 628650 h 1188720"/>
            <a:gd name="connsiteX40" fmla="*/ 1333500 w 1443990"/>
            <a:gd name="connsiteY40" fmla="*/ 579120 h 1188720"/>
            <a:gd name="connsiteX41" fmla="*/ 1363980 w 1443990"/>
            <a:gd name="connsiteY41" fmla="*/ 624840 h 1188720"/>
            <a:gd name="connsiteX42" fmla="*/ 1443990 w 1443990"/>
            <a:gd name="connsiteY42" fmla="*/ 662940 h 1188720"/>
            <a:gd name="connsiteX43" fmla="*/ 1413510 w 1443990"/>
            <a:gd name="connsiteY43" fmla="*/ 704850 h 1188720"/>
            <a:gd name="connsiteX44" fmla="*/ 1318260 w 1443990"/>
            <a:gd name="connsiteY44" fmla="*/ 685800 h 1188720"/>
            <a:gd name="connsiteX45" fmla="*/ 1306830 w 1443990"/>
            <a:gd name="connsiteY45" fmla="*/ 796290 h 1188720"/>
            <a:gd name="connsiteX46" fmla="*/ 1234440 w 1443990"/>
            <a:gd name="connsiteY46" fmla="*/ 784860 h 1188720"/>
            <a:gd name="connsiteX47" fmla="*/ 1165860 w 1443990"/>
            <a:gd name="connsiteY47" fmla="*/ 708660 h 1188720"/>
            <a:gd name="connsiteX48" fmla="*/ 1070610 w 1443990"/>
            <a:gd name="connsiteY48" fmla="*/ 762000 h 1188720"/>
            <a:gd name="connsiteX49" fmla="*/ 1070610 w 1443990"/>
            <a:gd name="connsiteY49" fmla="*/ 826770 h 1188720"/>
            <a:gd name="connsiteX50" fmla="*/ 994410 w 1443990"/>
            <a:gd name="connsiteY50" fmla="*/ 834390 h 1188720"/>
            <a:gd name="connsiteX51" fmla="*/ 922020 w 1443990"/>
            <a:gd name="connsiteY51" fmla="*/ 880110 h 1188720"/>
            <a:gd name="connsiteX52" fmla="*/ 883920 w 1443990"/>
            <a:gd name="connsiteY52" fmla="*/ 982980 h 1188720"/>
            <a:gd name="connsiteX53" fmla="*/ 794859 w 1443990"/>
            <a:gd name="connsiteY53" fmla="*/ 1024414 h 1188720"/>
            <a:gd name="connsiteX54" fmla="*/ 756272 w 1443990"/>
            <a:gd name="connsiteY54" fmla="*/ 1078706 h 1188720"/>
            <a:gd name="connsiteX55" fmla="*/ 804369 w 1443990"/>
            <a:gd name="connsiteY55" fmla="*/ 1124902 h 1188720"/>
            <a:gd name="connsiteX56" fmla="*/ 746760 w 1443990"/>
            <a:gd name="connsiteY56" fmla="*/ 1188720 h 1188720"/>
            <a:gd name="connsiteX57" fmla="*/ 720090 w 1443990"/>
            <a:gd name="connsiteY57" fmla="*/ 1162050 h 1188720"/>
            <a:gd name="connsiteX58" fmla="*/ 655320 w 1443990"/>
            <a:gd name="connsiteY58" fmla="*/ 1169670 h 1188720"/>
            <a:gd name="connsiteX59" fmla="*/ 548640 w 1443990"/>
            <a:gd name="connsiteY59" fmla="*/ 1104900 h 1188720"/>
            <a:gd name="connsiteX60" fmla="*/ 396240 w 1443990"/>
            <a:gd name="connsiteY60" fmla="*/ 1169670 h 1188720"/>
            <a:gd name="connsiteX61" fmla="*/ 240030 w 1443990"/>
            <a:gd name="connsiteY61" fmla="*/ 1024890 h 1188720"/>
            <a:gd name="connsiteX62" fmla="*/ 270510 w 1443990"/>
            <a:gd name="connsiteY62" fmla="*/ 960120 h 1188720"/>
            <a:gd name="connsiteX63" fmla="*/ 243840 w 1443990"/>
            <a:gd name="connsiteY63" fmla="*/ 880110 h 1188720"/>
            <a:gd name="connsiteX64" fmla="*/ 259080 w 1443990"/>
            <a:gd name="connsiteY64" fmla="*/ 830580 h 1188720"/>
            <a:gd name="connsiteX65" fmla="*/ 243840 w 1443990"/>
            <a:gd name="connsiteY65" fmla="*/ 784860 h 1188720"/>
            <a:gd name="connsiteX66" fmla="*/ 152400 w 1443990"/>
            <a:gd name="connsiteY66" fmla="*/ 800100 h 1188720"/>
            <a:gd name="connsiteX67" fmla="*/ 38100 w 1443990"/>
            <a:gd name="connsiteY67" fmla="*/ 693420 h 1188720"/>
            <a:gd name="connsiteX68" fmla="*/ 0 w 1443990"/>
            <a:gd name="connsiteY68" fmla="*/ 689610 h 1188720"/>
            <a:gd name="connsiteX69" fmla="*/ 57150 w 1443990"/>
            <a:gd name="connsiteY69" fmla="*/ 636270 h 1188720"/>
            <a:gd name="connsiteX70" fmla="*/ 194310 w 1443990"/>
            <a:gd name="connsiteY70" fmla="*/ 419100 h 1188720"/>
            <a:gd name="connsiteX71" fmla="*/ 152400 w 1443990"/>
            <a:gd name="connsiteY71" fmla="*/ 384810 h 1188720"/>
            <a:gd name="connsiteX72" fmla="*/ 140970 w 1443990"/>
            <a:gd name="connsiteY72" fmla="*/ 297180 h 1188720"/>
            <a:gd name="connsiteX73" fmla="*/ 64770 w 1443990"/>
            <a:gd name="connsiteY73" fmla="*/ 266700 h 1188720"/>
            <a:gd name="connsiteX74" fmla="*/ 45720 w 1443990"/>
            <a:gd name="connsiteY74" fmla="*/ 190500 h 11887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1443990" h="1188720">
              <a:moveTo>
                <a:pt x="45720" y="190500"/>
              </a:moveTo>
              <a:lnTo>
                <a:pt x="140970" y="205740"/>
              </a:lnTo>
              <a:lnTo>
                <a:pt x="171450" y="236220"/>
              </a:lnTo>
              <a:lnTo>
                <a:pt x="259080" y="255270"/>
              </a:lnTo>
              <a:lnTo>
                <a:pt x="308610" y="201930"/>
              </a:lnTo>
              <a:lnTo>
                <a:pt x="331470" y="209550"/>
              </a:lnTo>
              <a:lnTo>
                <a:pt x="358140" y="243840"/>
              </a:lnTo>
              <a:lnTo>
                <a:pt x="403860" y="220980"/>
              </a:lnTo>
              <a:lnTo>
                <a:pt x="487680" y="274320"/>
              </a:lnTo>
              <a:lnTo>
                <a:pt x="518160" y="270510"/>
              </a:lnTo>
              <a:lnTo>
                <a:pt x="548640" y="289560"/>
              </a:lnTo>
              <a:lnTo>
                <a:pt x="567690" y="251460"/>
              </a:lnTo>
              <a:lnTo>
                <a:pt x="590550" y="240030"/>
              </a:lnTo>
              <a:lnTo>
                <a:pt x="628650" y="293370"/>
              </a:lnTo>
              <a:lnTo>
                <a:pt x="689610" y="285750"/>
              </a:lnTo>
              <a:lnTo>
                <a:pt x="723900" y="213360"/>
              </a:lnTo>
              <a:lnTo>
                <a:pt x="784860" y="228600"/>
              </a:lnTo>
              <a:lnTo>
                <a:pt x="876300" y="140970"/>
              </a:lnTo>
              <a:lnTo>
                <a:pt x="895350" y="95250"/>
              </a:lnTo>
              <a:lnTo>
                <a:pt x="948690" y="0"/>
              </a:lnTo>
              <a:lnTo>
                <a:pt x="1097280" y="68580"/>
              </a:lnTo>
              <a:lnTo>
                <a:pt x="1116330" y="11430"/>
              </a:lnTo>
              <a:lnTo>
                <a:pt x="1173480" y="15240"/>
              </a:lnTo>
              <a:lnTo>
                <a:pt x="1181100" y="64770"/>
              </a:lnTo>
              <a:lnTo>
                <a:pt x="1143000" y="95250"/>
              </a:lnTo>
              <a:lnTo>
                <a:pt x="1139190" y="182880"/>
              </a:lnTo>
              <a:lnTo>
                <a:pt x="1184910" y="167640"/>
              </a:lnTo>
              <a:lnTo>
                <a:pt x="1211580" y="140970"/>
              </a:lnTo>
              <a:lnTo>
                <a:pt x="1215390" y="205740"/>
              </a:lnTo>
              <a:lnTo>
                <a:pt x="1162050" y="205740"/>
              </a:lnTo>
              <a:lnTo>
                <a:pt x="1146810" y="243840"/>
              </a:lnTo>
              <a:lnTo>
                <a:pt x="1211580" y="293370"/>
              </a:lnTo>
              <a:lnTo>
                <a:pt x="1207770" y="346710"/>
              </a:lnTo>
              <a:lnTo>
                <a:pt x="1272540" y="396240"/>
              </a:lnTo>
              <a:lnTo>
                <a:pt x="1242060" y="445770"/>
              </a:lnTo>
              <a:lnTo>
                <a:pt x="1192530" y="567690"/>
              </a:lnTo>
              <a:lnTo>
                <a:pt x="1238250" y="582930"/>
              </a:lnTo>
              <a:lnTo>
                <a:pt x="1230630" y="628650"/>
              </a:lnTo>
              <a:lnTo>
                <a:pt x="1268730" y="655320"/>
              </a:lnTo>
              <a:lnTo>
                <a:pt x="1303020" y="628650"/>
              </a:lnTo>
              <a:lnTo>
                <a:pt x="1333500" y="579120"/>
              </a:lnTo>
              <a:lnTo>
                <a:pt x="1363980" y="624840"/>
              </a:lnTo>
              <a:lnTo>
                <a:pt x="1443990" y="662940"/>
              </a:lnTo>
              <a:lnTo>
                <a:pt x="1413510" y="704850"/>
              </a:lnTo>
              <a:lnTo>
                <a:pt x="1318260" y="685800"/>
              </a:lnTo>
              <a:lnTo>
                <a:pt x="1306830" y="796290"/>
              </a:lnTo>
              <a:lnTo>
                <a:pt x="1234440" y="784860"/>
              </a:lnTo>
              <a:lnTo>
                <a:pt x="1165860" y="708660"/>
              </a:lnTo>
              <a:lnTo>
                <a:pt x="1070610" y="762000"/>
              </a:lnTo>
              <a:lnTo>
                <a:pt x="1070610" y="826770"/>
              </a:lnTo>
              <a:lnTo>
                <a:pt x="994410" y="834390"/>
              </a:lnTo>
              <a:lnTo>
                <a:pt x="922020" y="880110"/>
              </a:lnTo>
              <a:lnTo>
                <a:pt x="883920" y="982980"/>
              </a:lnTo>
              <a:lnTo>
                <a:pt x="794859" y="1024414"/>
              </a:lnTo>
              <a:lnTo>
                <a:pt x="756272" y="1078706"/>
              </a:lnTo>
              <a:lnTo>
                <a:pt x="804369" y="1124902"/>
              </a:lnTo>
              <a:lnTo>
                <a:pt x="746760" y="1188720"/>
              </a:lnTo>
              <a:lnTo>
                <a:pt x="720090" y="1162050"/>
              </a:lnTo>
              <a:lnTo>
                <a:pt x="655320" y="1169670"/>
              </a:lnTo>
              <a:lnTo>
                <a:pt x="548640" y="1104900"/>
              </a:lnTo>
              <a:lnTo>
                <a:pt x="396240" y="1169670"/>
              </a:lnTo>
              <a:lnTo>
                <a:pt x="240030" y="1024890"/>
              </a:lnTo>
              <a:lnTo>
                <a:pt x="270510" y="960120"/>
              </a:lnTo>
              <a:lnTo>
                <a:pt x="243840" y="880110"/>
              </a:lnTo>
              <a:lnTo>
                <a:pt x="259080" y="830580"/>
              </a:lnTo>
              <a:lnTo>
                <a:pt x="243840" y="784860"/>
              </a:lnTo>
              <a:lnTo>
                <a:pt x="152400" y="800100"/>
              </a:lnTo>
              <a:lnTo>
                <a:pt x="38100" y="693420"/>
              </a:lnTo>
              <a:lnTo>
                <a:pt x="0" y="689610"/>
              </a:lnTo>
              <a:lnTo>
                <a:pt x="57150" y="636270"/>
              </a:lnTo>
              <a:lnTo>
                <a:pt x="194310" y="419100"/>
              </a:lnTo>
              <a:lnTo>
                <a:pt x="152400" y="384810"/>
              </a:lnTo>
              <a:lnTo>
                <a:pt x="140970" y="297180"/>
              </a:lnTo>
              <a:lnTo>
                <a:pt x="64770" y="266700"/>
              </a:lnTo>
              <a:lnTo>
                <a:pt x="45720" y="190500"/>
              </a:lnTo>
              <a:close/>
            </a:path>
          </a:pathLst>
        </a:custGeom>
        <a:solidFill>
          <a:srgbClr val="B4C6E7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9</xdr:col>
      <xdr:colOff>304265</xdr:colOff>
      <xdr:row>10</xdr:row>
      <xdr:rowOff>175597</xdr:rowOff>
    </xdr:from>
    <xdr:to>
      <xdr:col>9</xdr:col>
      <xdr:colOff>1057275</xdr:colOff>
      <xdr:row>14</xdr:row>
      <xdr:rowOff>110113</xdr:rowOff>
    </xdr:to>
    <xdr:sp macro="" textlink="">
      <xdr:nvSpPr>
        <xdr:cNvPr id="15" name="Vukovarsko_srijemska_županija"/>
        <xdr:cNvSpPr/>
      </xdr:nvSpPr>
      <xdr:spPr>
        <a:xfrm>
          <a:off x="6076415" y="2337772"/>
          <a:ext cx="753010" cy="696516"/>
        </a:xfrm>
        <a:custGeom>
          <a:avLst/>
          <a:gdLst>
            <a:gd name="connsiteX0" fmla="*/ 557561 w 1105829"/>
            <a:gd name="connsiteY0" fmla="*/ 78988 h 1026841"/>
            <a:gd name="connsiteX1" fmla="*/ 590086 w 1105829"/>
            <a:gd name="connsiteY1" fmla="*/ 130097 h 1026841"/>
            <a:gd name="connsiteX2" fmla="*/ 529683 w 1105829"/>
            <a:gd name="connsiteY2" fmla="*/ 157975 h 1026841"/>
            <a:gd name="connsiteX3" fmla="*/ 594732 w 1105829"/>
            <a:gd name="connsiteY3" fmla="*/ 236963 h 1026841"/>
            <a:gd name="connsiteX4" fmla="*/ 669073 w 1105829"/>
            <a:gd name="connsiteY4" fmla="*/ 246256 h 1026841"/>
            <a:gd name="connsiteX5" fmla="*/ 664427 w 1105829"/>
            <a:gd name="connsiteY5" fmla="*/ 292719 h 1026841"/>
            <a:gd name="connsiteX6" fmla="*/ 808464 w 1105829"/>
            <a:gd name="connsiteY6" fmla="*/ 371707 h 1026841"/>
            <a:gd name="connsiteX7" fmla="*/ 901390 w 1105829"/>
            <a:gd name="connsiteY7" fmla="*/ 408878 h 1026841"/>
            <a:gd name="connsiteX8" fmla="*/ 1064012 w 1105829"/>
            <a:gd name="connsiteY8" fmla="*/ 413524 h 1026841"/>
            <a:gd name="connsiteX9" fmla="*/ 1105829 w 1105829"/>
            <a:gd name="connsiteY9" fmla="*/ 464634 h 1026841"/>
            <a:gd name="connsiteX10" fmla="*/ 1087244 w 1105829"/>
            <a:gd name="connsiteY10" fmla="*/ 511097 h 1026841"/>
            <a:gd name="connsiteX11" fmla="*/ 971086 w 1105829"/>
            <a:gd name="connsiteY11" fmla="*/ 520390 h 1026841"/>
            <a:gd name="connsiteX12" fmla="*/ 924622 w 1105829"/>
            <a:gd name="connsiteY12" fmla="*/ 446049 h 1026841"/>
            <a:gd name="connsiteX13" fmla="*/ 906037 w 1105829"/>
            <a:gd name="connsiteY13" fmla="*/ 446049 h 1026841"/>
            <a:gd name="connsiteX14" fmla="*/ 882805 w 1105829"/>
            <a:gd name="connsiteY14" fmla="*/ 497158 h 1026841"/>
            <a:gd name="connsiteX15" fmla="*/ 789878 w 1105829"/>
            <a:gd name="connsiteY15" fmla="*/ 459988 h 1026841"/>
            <a:gd name="connsiteX16" fmla="*/ 748061 w 1105829"/>
            <a:gd name="connsiteY16" fmla="*/ 459988 h 1026841"/>
            <a:gd name="connsiteX17" fmla="*/ 775939 w 1105829"/>
            <a:gd name="connsiteY17" fmla="*/ 511097 h 1026841"/>
            <a:gd name="connsiteX18" fmla="*/ 724829 w 1105829"/>
            <a:gd name="connsiteY18" fmla="*/ 566854 h 1026841"/>
            <a:gd name="connsiteX19" fmla="*/ 664427 w 1105829"/>
            <a:gd name="connsiteY19" fmla="*/ 557561 h 1026841"/>
            <a:gd name="connsiteX20" fmla="*/ 645842 w 1105829"/>
            <a:gd name="connsiteY20" fmla="*/ 608671 h 1026841"/>
            <a:gd name="connsiteX21" fmla="*/ 683012 w 1105829"/>
            <a:gd name="connsiteY21" fmla="*/ 655134 h 1026841"/>
            <a:gd name="connsiteX22" fmla="*/ 683012 w 1105829"/>
            <a:gd name="connsiteY22" fmla="*/ 789878 h 1026841"/>
            <a:gd name="connsiteX23" fmla="*/ 650488 w 1105829"/>
            <a:gd name="connsiteY23" fmla="*/ 822402 h 1026841"/>
            <a:gd name="connsiteX24" fmla="*/ 720183 w 1105829"/>
            <a:gd name="connsiteY24" fmla="*/ 845634 h 1026841"/>
            <a:gd name="connsiteX25" fmla="*/ 738768 w 1105829"/>
            <a:gd name="connsiteY25" fmla="*/ 882805 h 1026841"/>
            <a:gd name="connsiteX26" fmla="*/ 659781 w 1105829"/>
            <a:gd name="connsiteY26" fmla="*/ 947854 h 1026841"/>
            <a:gd name="connsiteX27" fmla="*/ 590086 w 1105829"/>
            <a:gd name="connsiteY27" fmla="*/ 938561 h 1026841"/>
            <a:gd name="connsiteX28" fmla="*/ 562207 w 1105829"/>
            <a:gd name="connsiteY28" fmla="*/ 971085 h 1026841"/>
            <a:gd name="connsiteX29" fmla="*/ 585439 w 1105829"/>
            <a:gd name="connsiteY29" fmla="*/ 1026841 h 1026841"/>
            <a:gd name="connsiteX30" fmla="*/ 394939 w 1105829"/>
            <a:gd name="connsiteY30" fmla="*/ 1012902 h 1026841"/>
            <a:gd name="connsiteX31" fmla="*/ 288073 w 1105829"/>
            <a:gd name="connsiteY31" fmla="*/ 915329 h 1026841"/>
            <a:gd name="connsiteX32" fmla="*/ 339183 w 1105829"/>
            <a:gd name="connsiteY32" fmla="*/ 882805 h 1026841"/>
            <a:gd name="connsiteX33" fmla="*/ 325244 w 1105829"/>
            <a:gd name="connsiteY33" fmla="*/ 785232 h 1026841"/>
            <a:gd name="connsiteX34" fmla="*/ 264842 w 1105829"/>
            <a:gd name="connsiteY34" fmla="*/ 789878 h 1026841"/>
            <a:gd name="connsiteX35" fmla="*/ 218378 w 1105829"/>
            <a:gd name="connsiteY35" fmla="*/ 720183 h 1026841"/>
            <a:gd name="connsiteX36" fmla="*/ 185854 w 1105829"/>
            <a:gd name="connsiteY36" fmla="*/ 636549 h 1026841"/>
            <a:gd name="connsiteX37" fmla="*/ 92927 w 1105829"/>
            <a:gd name="connsiteY37" fmla="*/ 641195 h 1026841"/>
            <a:gd name="connsiteX38" fmla="*/ 27878 w 1105829"/>
            <a:gd name="connsiteY38" fmla="*/ 673719 h 1026841"/>
            <a:gd name="connsiteX39" fmla="*/ 0 w 1105829"/>
            <a:gd name="connsiteY39" fmla="*/ 622610 h 1026841"/>
            <a:gd name="connsiteX40" fmla="*/ 78988 w 1105829"/>
            <a:gd name="connsiteY40" fmla="*/ 441402 h 1026841"/>
            <a:gd name="connsiteX41" fmla="*/ 9293 w 1105829"/>
            <a:gd name="connsiteY41" fmla="*/ 371707 h 1026841"/>
            <a:gd name="connsiteX42" fmla="*/ 46464 w 1105829"/>
            <a:gd name="connsiteY42" fmla="*/ 315951 h 1026841"/>
            <a:gd name="connsiteX43" fmla="*/ 144037 w 1105829"/>
            <a:gd name="connsiteY43" fmla="*/ 264841 h 1026841"/>
            <a:gd name="connsiteX44" fmla="*/ 176561 w 1105829"/>
            <a:gd name="connsiteY44" fmla="*/ 167268 h 1026841"/>
            <a:gd name="connsiteX45" fmla="*/ 246256 w 1105829"/>
            <a:gd name="connsiteY45" fmla="*/ 120805 h 1026841"/>
            <a:gd name="connsiteX46" fmla="*/ 325244 w 1105829"/>
            <a:gd name="connsiteY46" fmla="*/ 111512 h 1026841"/>
            <a:gd name="connsiteX47" fmla="*/ 329890 w 1105829"/>
            <a:gd name="connsiteY47" fmla="*/ 51110 h 1026841"/>
            <a:gd name="connsiteX48" fmla="*/ 418171 w 1105829"/>
            <a:gd name="connsiteY48" fmla="*/ 0 h 1026841"/>
            <a:gd name="connsiteX49" fmla="*/ 497159 w 1105829"/>
            <a:gd name="connsiteY49" fmla="*/ 74341 h 1026841"/>
            <a:gd name="connsiteX50" fmla="*/ 557561 w 1105829"/>
            <a:gd name="connsiteY50" fmla="*/ 78988 h 10268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1105829" h="1026841">
              <a:moveTo>
                <a:pt x="557561" y="78988"/>
              </a:moveTo>
              <a:lnTo>
                <a:pt x="590086" y="130097"/>
              </a:lnTo>
              <a:lnTo>
                <a:pt x="529683" y="157975"/>
              </a:lnTo>
              <a:lnTo>
                <a:pt x="594732" y="236963"/>
              </a:lnTo>
              <a:lnTo>
                <a:pt x="669073" y="246256"/>
              </a:lnTo>
              <a:lnTo>
                <a:pt x="664427" y="292719"/>
              </a:lnTo>
              <a:lnTo>
                <a:pt x="808464" y="371707"/>
              </a:lnTo>
              <a:lnTo>
                <a:pt x="901390" y="408878"/>
              </a:lnTo>
              <a:lnTo>
                <a:pt x="1064012" y="413524"/>
              </a:lnTo>
              <a:lnTo>
                <a:pt x="1105829" y="464634"/>
              </a:lnTo>
              <a:lnTo>
                <a:pt x="1087244" y="511097"/>
              </a:lnTo>
              <a:lnTo>
                <a:pt x="971086" y="520390"/>
              </a:lnTo>
              <a:lnTo>
                <a:pt x="924622" y="446049"/>
              </a:lnTo>
              <a:lnTo>
                <a:pt x="906037" y="446049"/>
              </a:lnTo>
              <a:lnTo>
                <a:pt x="882805" y="497158"/>
              </a:lnTo>
              <a:lnTo>
                <a:pt x="789878" y="459988"/>
              </a:lnTo>
              <a:lnTo>
                <a:pt x="748061" y="459988"/>
              </a:lnTo>
              <a:lnTo>
                <a:pt x="775939" y="511097"/>
              </a:lnTo>
              <a:lnTo>
                <a:pt x="724829" y="566854"/>
              </a:lnTo>
              <a:lnTo>
                <a:pt x="664427" y="557561"/>
              </a:lnTo>
              <a:lnTo>
                <a:pt x="645842" y="608671"/>
              </a:lnTo>
              <a:lnTo>
                <a:pt x="683012" y="655134"/>
              </a:lnTo>
              <a:lnTo>
                <a:pt x="683012" y="789878"/>
              </a:lnTo>
              <a:lnTo>
                <a:pt x="650488" y="822402"/>
              </a:lnTo>
              <a:lnTo>
                <a:pt x="720183" y="845634"/>
              </a:lnTo>
              <a:lnTo>
                <a:pt x="738768" y="882805"/>
              </a:lnTo>
              <a:lnTo>
                <a:pt x="659781" y="947854"/>
              </a:lnTo>
              <a:lnTo>
                <a:pt x="590086" y="938561"/>
              </a:lnTo>
              <a:lnTo>
                <a:pt x="562207" y="971085"/>
              </a:lnTo>
              <a:lnTo>
                <a:pt x="585439" y="1026841"/>
              </a:lnTo>
              <a:lnTo>
                <a:pt x="394939" y="1012902"/>
              </a:lnTo>
              <a:lnTo>
                <a:pt x="288073" y="915329"/>
              </a:lnTo>
              <a:lnTo>
                <a:pt x="339183" y="882805"/>
              </a:lnTo>
              <a:lnTo>
                <a:pt x="325244" y="785232"/>
              </a:lnTo>
              <a:lnTo>
                <a:pt x="264842" y="789878"/>
              </a:lnTo>
              <a:lnTo>
                <a:pt x="218378" y="720183"/>
              </a:lnTo>
              <a:lnTo>
                <a:pt x="185854" y="636549"/>
              </a:lnTo>
              <a:lnTo>
                <a:pt x="92927" y="641195"/>
              </a:lnTo>
              <a:lnTo>
                <a:pt x="27878" y="673719"/>
              </a:lnTo>
              <a:lnTo>
                <a:pt x="0" y="622610"/>
              </a:lnTo>
              <a:lnTo>
                <a:pt x="78988" y="441402"/>
              </a:lnTo>
              <a:lnTo>
                <a:pt x="9293" y="371707"/>
              </a:lnTo>
              <a:lnTo>
                <a:pt x="46464" y="315951"/>
              </a:lnTo>
              <a:lnTo>
                <a:pt x="144037" y="264841"/>
              </a:lnTo>
              <a:lnTo>
                <a:pt x="176561" y="167268"/>
              </a:lnTo>
              <a:lnTo>
                <a:pt x="246256" y="120805"/>
              </a:lnTo>
              <a:lnTo>
                <a:pt x="325244" y="111512"/>
              </a:lnTo>
              <a:lnTo>
                <a:pt x="329890" y="51110"/>
              </a:lnTo>
              <a:lnTo>
                <a:pt x="418171" y="0"/>
              </a:lnTo>
              <a:lnTo>
                <a:pt x="497159" y="74341"/>
              </a:lnTo>
              <a:lnTo>
                <a:pt x="557561" y="78988"/>
              </a:lnTo>
              <a:close/>
            </a:path>
          </a:pathLst>
        </a:custGeom>
        <a:solidFill>
          <a:srgbClr val="D9E1F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1</xdr:col>
      <xdr:colOff>1495889</xdr:colOff>
      <xdr:row>10</xdr:row>
      <xdr:rowOff>104730</xdr:rowOff>
    </xdr:from>
    <xdr:to>
      <xdr:col>2</xdr:col>
      <xdr:colOff>572111</xdr:colOff>
      <xdr:row>14</xdr:row>
      <xdr:rowOff>151265</xdr:rowOff>
    </xdr:to>
    <xdr:sp macro="" textlink="">
      <xdr:nvSpPr>
        <xdr:cNvPr id="16" name="Istarska_županija"/>
        <xdr:cNvSpPr/>
      </xdr:nvSpPr>
      <xdr:spPr>
        <a:xfrm>
          <a:off x="2048339" y="2266905"/>
          <a:ext cx="590697" cy="808535"/>
        </a:xfrm>
        <a:custGeom>
          <a:avLst/>
          <a:gdLst>
            <a:gd name="connsiteX0" fmla="*/ 734786 w 870857"/>
            <a:gd name="connsiteY0" fmla="*/ 70757 h 1191985"/>
            <a:gd name="connsiteX1" fmla="*/ 636814 w 870857"/>
            <a:gd name="connsiteY1" fmla="*/ 0 h 1191985"/>
            <a:gd name="connsiteX2" fmla="*/ 582386 w 870857"/>
            <a:gd name="connsiteY2" fmla="*/ 21771 h 1191985"/>
            <a:gd name="connsiteX3" fmla="*/ 604157 w 870857"/>
            <a:gd name="connsiteY3" fmla="*/ 76200 h 1191985"/>
            <a:gd name="connsiteX4" fmla="*/ 571500 w 870857"/>
            <a:gd name="connsiteY4" fmla="*/ 125185 h 1191985"/>
            <a:gd name="connsiteX5" fmla="*/ 533400 w 870857"/>
            <a:gd name="connsiteY5" fmla="*/ 103414 h 1191985"/>
            <a:gd name="connsiteX6" fmla="*/ 462643 w 870857"/>
            <a:gd name="connsiteY6" fmla="*/ 168728 h 1191985"/>
            <a:gd name="connsiteX7" fmla="*/ 413657 w 870857"/>
            <a:gd name="connsiteY7" fmla="*/ 141514 h 1191985"/>
            <a:gd name="connsiteX8" fmla="*/ 353786 w 870857"/>
            <a:gd name="connsiteY8" fmla="*/ 87085 h 1191985"/>
            <a:gd name="connsiteX9" fmla="*/ 239486 w 870857"/>
            <a:gd name="connsiteY9" fmla="*/ 119742 h 1191985"/>
            <a:gd name="connsiteX10" fmla="*/ 141514 w 870857"/>
            <a:gd name="connsiteY10" fmla="*/ 70757 h 1191985"/>
            <a:gd name="connsiteX11" fmla="*/ 141514 w 870857"/>
            <a:gd name="connsiteY11" fmla="*/ 70757 h 1191985"/>
            <a:gd name="connsiteX12" fmla="*/ 27214 w 870857"/>
            <a:gd name="connsiteY12" fmla="*/ 38100 h 1191985"/>
            <a:gd name="connsiteX13" fmla="*/ 0 w 870857"/>
            <a:gd name="connsiteY13" fmla="*/ 81642 h 1191985"/>
            <a:gd name="connsiteX14" fmla="*/ 38100 w 870857"/>
            <a:gd name="connsiteY14" fmla="*/ 108857 h 1191985"/>
            <a:gd name="connsiteX15" fmla="*/ 32657 w 870857"/>
            <a:gd name="connsiteY15" fmla="*/ 174171 h 1191985"/>
            <a:gd name="connsiteX16" fmla="*/ 70757 w 870857"/>
            <a:gd name="connsiteY16" fmla="*/ 277585 h 1191985"/>
            <a:gd name="connsiteX17" fmla="*/ 65314 w 870857"/>
            <a:gd name="connsiteY17" fmla="*/ 337457 h 1191985"/>
            <a:gd name="connsiteX18" fmla="*/ 125186 w 870857"/>
            <a:gd name="connsiteY18" fmla="*/ 359228 h 1191985"/>
            <a:gd name="connsiteX19" fmla="*/ 125186 w 870857"/>
            <a:gd name="connsiteY19" fmla="*/ 495300 h 1191985"/>
            <a:gd name="connsiteX20" fmla="*/ 141514 w 870857"/>
            <a:gd name="connsiteY20" fmla="*/ 647700 h 1191985"/>
            <a:gd name="connsiteX21" fmla="*/ 277586 w 870857"/>
            <a:gd name="connsiteY21" fmla="*/ 642257 h 1191985"/>
            <a:gd name="connsiteX22" fmla="*/ 146957 w 870857"/>
            <a:gd name="connsiteY22" fmla="*/ 669471 h 1191985"/>
            <a:gd name="connsiteX23" fmla="*/ 185057 w 870857"/>
            <a:gd name="connsiteY23" fmla="*/ 751114 h 1191985"/>
            <a:gd name="connsiteX24" fmla="*/ 239486 w 870857"/>
            <a:gd name="connsiteY24" fmla="*/ 778328 h 1191985"/>
            <a:gd name="connsiteX25" fmla="*/ 332014 w 870857"/>
            <a:gd name="connsiteY25" fmla="*/ 892628 h 1191985"/>
            <a:gd name="connsiteX26" fmla="*/ 359229 w 870857"/>
            <a:gd name="connsiteY26" fmla="*/ 968828 h 1191985"/>
            <a:gd name="connsiteX27" fmla="*/ 397329 w 870857"/>
            <a:gd name="connsiteY27" fmla="*/ 1066800 h 1191985"/>
            <a:gd name="connsiteX28" fmla="*/ 413657 w 870857"/>
            <a:gd name="connsiteY28" fmla="*/ 1143000 h 1191985"/>
            <a:gd name="connsiteX29" fmla="*/ 462643 w 870857"/>
            <a:gd name="connsiteY29" fmla="*/ 1164771 h 1191985"/>
            <a:gd name="connsiteX30" fmla="*/ 522514 w 870857"/>
            <a:gd name="connsiteY30" fmla="*/ 1170214 h 1191985"/>
            <a:gd name="connsiteX31" fmla="*/ 593271 w 870857"/>
            <a:gd name="connsiteY31" fmla="*/ 1191985 h 1191985"/>
            <a:gd name="connsiteX32" fmla="*/ 582386 w 870857"/>
            <a:gd name="connsiteY32" fmla="*/ 1099457 h 1191985"/>
            <a:gd name="connsiteX33" fmla="*/ 598714 w 870857"/>
            <a:gd name="connsiteY33" fmla="*/ 1012371 h 1191985"/>
            <a:gd name="connsiteX34" fmla="*/ 680357 w 870857"/>
            <a:gd name="connsiteY34" fmla="*/ 903514 h 1191985"/>
            <a:gd name="connsiteX35" fmla="*/ 653143 w 870857"/>
            <a:gd name="connsiteY35" fmla="*/ 805542 h 1191985"/>
            <a:gd name="connsiteX36" fmla="*/ 713014 w 870857"/>
            <a:gd name="connsiteY36" fmla="*/ 887185 h 1191985"/>
            <a:gd name="connsiteX37" fmla="*/ 783771 w 870857"/>
            <a:gd name="connsiteY37" fmla="*/ 930728 h 1191985"/>
            <a:gd name="connsiteX38" fmla="*/ 805543 w 870857"/>
            <a:gd name="connsiteY38" fmla="*/ 816428 h 1191985"/>
            <a:gd name="connsiteX39" fmla="*/ 778329 w 870857"/>
            <a:gd name="connsiteY39" fmla="*/ 756557 h 1191985"/>
            <a:gd name="connsiteX40" fmla="*/ 870857 w 870857"/>
            <a:gd name="connsiteY40" fmla="*/ 598714 h 1191985"/>
            <a:gd name="connsiteX41" fmla="*/ 832757 w 870857"/>
            <a:gd name="connsiteY41" fmla="*/ 332014 h 1191985"/>
            <a:gd name="connsiteX42" fmla="*/ 870857 w 870857"/>
            <a:gd name="connsiteY42" fmla="*/ 277585 h 1191985"/>
            <a:gd name="connsiteX43" fmla="*/ 827314 w 870857"/>
            <a:gd name="connsiteY43" fmla="*/ 239485 h 1191985"/>
            <a:gd name="connsiteX44" fmla="*/ 843643 w 870857"/>
            <a:gd name="connsiteY44" fmla="*/ 174171 h 1191985"/>
            <a:gd name="connsiteX45" fmla="*/ 805543 w 870857"/>
            <a:gd name="connsiteY45" fmla="*/ 157842 h 1191985"/>
            <a:gd name="connsiteX46" fmla="*/ 734786 w 870857"/>
            <a:gd name="connsiteY46" fmla="*/ 70757 h 11919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870857" h="1191985">
              <a:moveTo>
                <a:pt x="734786" y="70757"/>
              </a:moveTo>
              <a:lnTo>
                <a:pt x="636814" y="0"/>
              </a:lnTo>
              <a:lnTo>
                <a:pt x="582386" y="21771"/>
              </a:lnTo>
              <a:lnTo>
                <a:pt x="604157" y="76200"/>
              </a:lnTo>
              <a:lnTo>
                <a:pt x="571500" y="125185"/>
              </a:lnTo>
              <a:lnTo>
                <a:pt x="533400" y="103414"/>
              </a:lnTo>
              <a:lnTo>
                <a:pt x="462643" y="168728"/>
              </a:lnTo>
              <a:lnTo>
                <a:pt x="413657" y="141514"/>
              </a:lnTo>
              <a:lnTo>
                <a:pt x="353786" y="87085"/>
              </a:lnTo>
              <a:lnTo>
                <a:pt x="239486" y="119742"/>
              </a:lnTo>
              <a:lnTo>
                <a:pt x="141514" y="70757"/>
              </a:lnTo>
              <a:lnTo>
                <a:pt x="141514" y="70757"/>
              </a:lnTo>
              <a:lnTo>
                <a:pt x="27214" y="38100"/>
              </a:lnTo>
              <a:lnTo>
                <a:pt x="0" y="81642"/>
              </a:lnTo>
              <a:lnTo>
                <a:pt x="38100" y="108857"/>
              </a:lnTo>
              <a:lnTo>
                <a:pt x="32657" y="174171"/>
              </a:lnTo>
              <a:lnTo>
                <a:pt x="70757" y="277585"/>
              </a:lnTo>
              <a:lnTo>
                <a:pt x="65314" y="337457"/>
              </a:lnTo>
              <a:lnTo>
                <a:pt x="125186" y="359228"/>
              </a:lnTo>
              <a:lnTo>
                <a:pt x="125186" y="495300"/>
              </a:lnTo>
              <a:lnTo>
                <a:pt x="141514" y="647700"/>
              </a:lnTo>
              <a:lnTo>
                <a:pt x="277586" y="642257"/>
              </a:lnTo>
              <a:lnTo>
                <a:pt x="146957" y="669471"/>
              </a:lnTo>
              <a:lnTo>
                <a:pt x="185057" y="751114"/>
              </a:lnTo>
              <a:lnTo>
                <a:pt x="239486" y="778328"/>
              </a:lnTo>
              <a:lnTo>
                <a:pt x="332014" y="892628"/>
              </a:lnTo>
              <a:lnTo>
                <a:pt x="359229" y="968828"/>
              </a:lnTo>
              <a:lnTo>
                <a:pt x="397329" y="1066800"/>
              </a:lnTo>
              <a:lnTo>
                <a:pt x="413657" y="1143000"/>
              </a:lnTo>
              <a:lnTo>
                <a:pt x="462643" y="1164771"/>
              </a:lnTo>
              <a:lnTo>
                <a:pt x="522514" y="1170214"/>
              </a:lnTo>
              <a:lnTo>
                <a:pt x="593271" y="1191985"/>
              </a:lnTo>
              <a:lnTo>
                <a:pt x="582386" y="1099457"/>
              </a:lnTo>
              <a:lnTo>
                <a:pt x="598714" y="1012371"/>
              </a:lnTo>
              <a:lnTo>
                <a:pt x="680357" y="903514"/>
              </a:lnTo>
              <a:lnTo>
                <a:pt x="653143" y="805542"/>
              </a:lnTo>
              <a:lnTo>
                <a:pt x="713014" y="887185"/>
              </a:lnTo>
              <a:lnTo>
                <a:pt x="783771" y="930728"/>
              </a:lnTo>
              <a:lnTo>
                <a:pt x="805543" y="816428"/>
              </a:lnTo>
              <a:lnTo>
                <a:pt x="778329" y="756557"/>
              </a:lnTo>
              <a:lnTo>
                <a:pt x="870857" y="598714"/>
              </a:lnTo>
              <a:lnTo>
                <a:pt x="832757" y="332014"/>
              </a:lnTo>
              <a:lnTo>
                <a:pt x="870857" y="277585"/>
              </a:lnTo>
              <a:lnTo>
                <a:pt x="827314" y="239485"/>
              </a:lnTo>
              <a:lnTo>
                <a:pt x="843643" y="174171"/>
              </a:lnTo>
              <a:lnTo>
                <a:pt x="805543" y="157842"/>
              </a:lnTo>
              <a:lnTo>
                <a:pt x="734786" y="70757"/>
              </a:lnTo>
              <a:close/>
            </a:path>
          </a:pathLst>
        </a:custGeom>
        <a:solidFill>
          <a:srgbClr val="203764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 editAs="absolute">
    <xdr:from>
      <xdr:col>3</xdr:col>
      <xdr:colOff>391730</xdr:colOff>
      <xdr:row>12</xdr:row>
      <xdr:rowOff>175948</xdr:rowOff>
    </xdr:from>
    <xdr:to>
      <xdr:col>5</xdr:col>
      <xdr:colOff>298110</xdr:colOff>
      <xdr:row>17</xdr:row>
      <xdr:rowOff>175249</xdr:rowOff>
    </xdr:to>
    <xdr:grpSp>
      <xdr:nvGrpSpPr>
        <xdr:cNvPr id="61" name="Ličko_senjska_županija"/>
        <xdr:cNvGrpSpPr/>
      </xdr:nvGrpSpPr>
      <xdr:grpSpPr>
        <a:xfrm>
          <a:off x="3049205" y="2719123"/>
          <a:ext cx="1125580" cy="951801"/>
          <a:chOff x="4897055" y="2404798"/>
          <a:chExt cx="1125580" cy="951801"/>
        </a:xfrm>
      </xdr:grpSpPr>
      <xdr:sp macro="" textlink="">
        <xdr:nvSpPr>
          <xdr:cNvPr id="58" name="Freeform 57"/>
          <xdr:cNvSpPr/>
        </xdr:nvSpPr>
        <xdr:spPr>
          <a:xfrm>
            <a:off x="5013768" y="2404798"/>
            <a:ext cx="1008867" cy="951801"/>
          </a:xfrm>
          <a:custGeom>
            <a:avLst/>
            <a:gdLst>
              <a:gd name="connsiteX0" fmla="*/ 1017549 w 1477537"/>
              <a:gd name="connsiteY0" fmla="*/ 320598 h 1403195"/>
              <a:gd name="connsiteX1" fmla="*/ 1022195 w 1477537"/>
              <a:gd name="connsiteY1" fmla="*/ 399586 h 1403195"/>
              <a:gd name="connsiteX2" fmla="*/ 1064013 w 1477537"/>
              <a:gd name="connsiteY2" fmla="*/ 450695 h 1403195"/>
              <a:gd name="connsiteX3" fmla="*/ 1008256 w 1477537"/>
              <a:gd name="connsiteY3" fmla="*/ 506451 h 1403195"/>
              <a:gd name="connsiteX4" fmla="*/ 1050074 w 1477537"/>
              <a:gd name="connsiteY4" fmla="*/ 590086 h 1403195"/>
              <a:gd name="connsiteX5" fmla="*/ 1110476 w 1477537"/>
              <a:gd name="connsiteY5" fmla="*/ 669073 h 1403195"/>
              <a:gd name="connsiteX6" fmla="*/ 1194110 w 1477537"/>
              <a:gd name="connsiteY6" fmla="*/ 622610 h 1403195"/>
              <a:gd name="connsiteX7" fmla="*/ 1263805 w 1477537"/>
              <a:gd name="connsiteY7" fmla="*/ 706244 h 1403195"/>
              <a:gd name="connsiteX8" fmla="*/ 1277744 w 1477537"/>
              <a:gd name="connsiteY8" fmla="*/ 743415 h 1403195"/>
              <a:gd name="connsiteX9" fmla="*/ 1319561 w 1477537"/>
              <a:gd name="connsiteY9" fmla="*/ 771293 h 1403195"/>
              <a:gd name="connsiteX10" fmla="*/ 1361378 w 1477537"/>
              <a:gd name="connsiteY10" fmla="*/ 831695 h 1403195"/>
              <a:gd name="connsiteX11" fmla="*/ 1361378 w 1477537"/>
              <a:gd name="connsiteY11" fmla="*/ 859573 h 1403195"/>
              <a:gd name="connsiteX12" fmla="*/ 1333500 w 1477537"/>
              <a:gd name="connsiteY12" fmla="*/ 896744 h 1403195"/>
              <a:gd name="connsiteX13" fmla="*/ 1328854 w 1477537"/>
              <a:gd name="connsiteY13" fmla="*/ 924622 h 1403195"/>
              <a:gd name="connsiteX14" fmla="*/ 1393903 w 1477537"/>
              <a:gd name="connsiteY14" fmla="*/ 980378 h 1403195"/>
              <a:gd name="connsiteX15" fmla="*/ 1449659 w 1477537"/>
              <a:gd name="connsiteY15" fmla="*/ 1012903 h 1403195"/>
              <a:gd name="connsiteX16" fmla="*/ 1477537 w 1477537"/>
              <a:gd name="connsiteY16" fmla="*/ 1068659 h 1403195"/>
              <a:gd name="connsiteX17" fmla="*/ 1472891 w 1477537"/>
              <a:gd name="connsiteY17" fmla="*/ 1105829 h 1403195"/>
              <a:gd name="connsiteX18" fmla="*/ 1384610 w 1477537"/>
              <a:gd name="connsiteY18" fmla="*/ 1105829 h 1403195"/>
              <a:gd name="connsiteX19" fmla="*/ 1370671 w 1477537"/>
              <a:gd name="connsiteY19" fmla="*/ 1138354 h 1403195"/>
              <a:gd name="connsiteX20" fmla="*/ 1328854 w 1477537"/>
              <a:gd name="connsiteY20" fmla="*/ 1059366 h 1403195"/>
              <a:gd name="connsiteX21" fmla="*/ 1268452 w 1477537"/>
              <a:gd name="connsiteY21" fmla="*/ 1031488 h 1403195"/>
              <a:gd name="connsiteX22" fmla="*/ 1184817 w 1477537"/>
              <a:gd name="connsiteY22" fmla="*/ 1064012 h 1403195"/>
              <a:gd name="connsiteX23" fmla="*/ 1119769 w 1477537"/>
              <a:gd name="connsiteY23" fmla="*/ 1101183 h 1403195"/>
              <a:gd name="connsiteX24" fmla="*/ 1031488 w 1477537"/>
              <a:gd name="connsiteY24" fmla="*/ 1161586 h 1403195"/>
              <a:gd name="connsiteX25" fmla="*/ 1073305 w 1477537"/>
              <a:gd name="connsiteY25" fmla="*/ 1208049 h 1403195"/>
              <a:gd name="connsiteX26" fmla="*/ 1045427 w 1477537"/>
              <a:gd name="connsiteY26" fmla="*/ 1240573 h 1403195"/>
              <a:gd name="connsiteX27" fmla="*/ 1105830 w 1477537"/>
              <a:gd name="connsiteY27" fmla="*/ 1273098 h 1403195"/>
              <a:gd name="connsiteX28" fmla="*/ 1105830 w 1477537"/>
              <a:gd name="connsiteY28" fmla="*/ 1314915 h 1403195"/>
              <a:gd name="connsiteX29" fmla="*/ 1087244 w 1477537"/>
              <a:gd name="connsiteY29" fmla="*/ 1370671 h 1403195"/>
              <a:gd name="connsiteX30" fmla="*/ 1050074 w 1477537"/>
              <a:gd name="connsiteY30" fmla="*/ 1398549 h 1403195"/>
              <a:gd name="connsiteX31" fmla="*/ 989671 w 1477537"/>
              <a:gd name="connsiteY31" fmla="*/ 1403195 h 1403195"/>
              <a:gd name="connsiteX32" fmla="*/ 947854 w 1477537"/>
              <a:gd name="connsiteY32" fmla="*/ 1403195 h 1403195"/>
              <a:gd name="connsiteX33" fmla="*/ 882805 w 1477537"/>
              <a:gd name="connsiteY33" fmla="*/ 1370671 h 1403195"/>
              <a:gd name="connsiteX34" fmla="*/ 808464 w 1477537"/>
              <a:gd name="connsiteY34" fmla="*/ 1366025 h 1403195"/>
              <a:gd name="connsiteX35" fmla="*/ 766647 w 1477537"/>
              <a:gd name="connsiteY35" fmla="*/ 1314915 h 1403195"/>
              <a:gd name="connsiteX36" fmla="*/ 743415 w 1477537"/>
              <a:gd name="connsiteY36" fmla="*/ 1254512 h 1403195"/>
              <a:gd name="connsiteX37" fmla="*/ 636549 w 1477537"/>
              <a:gd name="connsiteY37" fmla="*/ 1235927 h 1403195"/>
              <a:gd name="connsiteX38" fmla="*/ 576147 w 1477537"/>
              <a:gd name="connsiteY38" fmla="*/ 1203403 h 1403195"/>
              <a:gd name="connsiteX39" fmla="*/ 511098 w 1477537"/>
              <a:gd name="connsiteY39" fmla="*/ 1170878 h 1403195"/>
              <a:gd name="connsiteX40" fmla="*/ 469281 w 1477537"/>
              <a:gd name="connsiteY40" fmla="*/ 1226634 h 1403195"/>
              <a:gd name="connsiteX41" fmla="*/ 367061 w 1477537"/>
              <a:gd name="connsiteY41" fmla="*/ 1147647 h 1403195"/>
              <a:gd name="connsiteX42" fmla="*/ 311305 w 1477537"/>
              <a:gd name="connsiteY42" fmla="*/ 1087244 h 1403195"/>
              <a:gd name="connsiteX43" fmla="*/ 250903 w 1477537"/>
              <a:gd name="connsiteY43" fmla="*/ 1008256 h 1403195"/>
              <a:gd name="connsiteX44" fmla="*/ 185854 w 1477537"/>
              <a:gd name="connsiteY44" fmla="*/ 938561 h 1403195"/>
              <a:gd name="connsiteX45" fmla="*/ 120805 w 1477537"/>
              <a:gd name="connsiteY45" fmla="*/ 878159 h 1403195"/>
              <a:gd name="connsiteX46" fmla="*/ 78988 w 1477537"/>
              <a:gd name="connsiteY46" fmla="*/ 789878 h 1403195"/>
              <a:gd name="connsiteX47" fmla="*/ 41817 w 1477537"/>
              <a:gd name="connsiteY47" fmla="*/ 715537 h 1403195"/>
              <a:gd name="connsiteX48" fmla="*/ 4647 w 1477537"/>
              <a:gd name="connsiteY48" fmla="*/ 659781 h 1403195"/>
              <a:gd name="connsiteX49" fmla="*/ 0 w 1477537"/>
              <a:gd name="connsiteY49" fmla="*/ 552915 h 1403195"/>
              <a:gd name="connsiteX50" fmla="*/ 9293 w 1477537"/>
              <a:gd name="connsiteY50" fmla="*/ 450695 h 1403195"/>
              <a:gd name="connsiteX51" fmla="*/ 27878 w 1477537"/>
              <a:gd name="connsiteY51" fmla="*/ 357768 h 1403195"/>
              <a:gd name="connsiteX52" fmla="*/ 55756 w 1477537"/>
              <a:gd name="connsiteY52" fmla="*/ 292720 h 1403195"/>
              <a:gd name="connsiteX53" fmla="*/ 18586 w 1477537"/>
              <a:gd name="connsiteY53" fmla="*/ 190500 h 1403195"/>
              <a:gd name="connsiteX54" fmla="*/ 9293 w 1477537"/>
              <a:gd name="connsiteY54" fmla="*/ 125451 h 1403195"/>
              <a:gd name="connsiteX55" fmla="*/ 102220 w 1477537"/>
              <a:gd name="connsiteY55" fmla="*/ 88281 h 1403195"/>
              <a:gd name="connsiteX56" fmla="*/ 176561 w 1477537"/>
              <a:gd name="connsiteY56" fmla="*/ 92927 h 1403195"/>
              <a:gd name="connsiteX57" fmla="*/ 185854 w 1477537"/>
              <a:gd name="connsiteY57" fmla="*/ 0 h 1403195"/>
              <a:gd name="connsiteX58" fmla="*/ 288074 w 1477537"/>
              <a:gd name="connsiteY58" fmla="*/ 65049 h 1403195"/>
              <a:gd name="connsiteX59" fmla="*/ 371708 w 1477537"/>
              <a:gd name="connsiteY59" fmla="*/ 27878 h 1403195"/>
              <a:gd name="connsiteX60" fmla="*/ 683013 w 1477537"/>
              <a:gd name="connsiteY60" fmla="*/ 329890 h 1403195"/>
              <a:gd name="connsiteX61" fmla="*/ 729476 w 1477537"/>
              <a:gd name="connsiteY61" fmla="*/ 329890 h 1403195"/>
              <a:gd name="connsiteX62" fmla="*/ 762000 w 1477537"/>
              <a:gd name="connsiteY62" fmla="*/ 390293 h 1403195"/>
              <a:gd name="connsiteX63" fmla="*/ 799171 w 1477537"/>
              <a:gd name="connsiteY63" fmla="*/ 376354 h 1403195"/>
              <a:gd name="connsiteX64" fmla="*/ 780586 w 1477537"/>
              <a:gd name="connsiteY64" fmla="*/ 325244 h 1403195"/>
              <a:gd name="connsiteX65" fmla="*/ 789878 w 1477537"/>
              <a:gd name="connsiteY65" fmla="*/ 302012 h 1403195"/>
              <a:gd name="connsiteX66" fmla="*/ 827049 w 1477537"/>
              <a:gd name="connsiteY66" fmla="*/ 334537 h 1403195"/>
              <a:gd name="connsiteX67" fmla="*/ 901391 w 1477537"/>
              <a:gd name="connsiteY67" fmla="*/ 302012 h 1403195"/>
              <a:gd name="connsiteX68" fmla="*/ 1017549 w 1477537"/>
              <a:gd name="connsiteY68" fmla="*/ 320598 h 14031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</a:cxnLst>
            <a:rect l="l" t="t" r="r" b="b"/>
            <a:pathLst>
              <a:path w="1477537" h="1403195">
                <a:moveTo>
                  <a:pt x="1017549" y="320598"/>
                </a:moveTo>
                <a:lnTo>
                  <a:pt x="1022195" y="399586"/>
                </a:lnTo>
                <a:lnTo>
                  <a:pt x="1064013" y="450695"/>
                </a:lnTo>
                <a:lnTo>
                  <a:pt x="1008256" y="506451"/>
                </a:lnTo>
                <a:lnTo>
                  <a:pt x="1050074" y="590086"/>
                </a:lnTo>
                <a:lnTo>
                  <a:pt x="1110476" y="669073"/>
                </a:lnTo>
                <a:lnTo>
                  <a:pt x="1194110" y="622610"/>
                </a:lnTo>
                <a:lnTo>
                  <a:pt x="1263805" y="706244"/>
                </a:lnTo>
                <a:lnTo>
                  <a:pt x="1277744" y="743415"/>
                </a:lnTo>
                <a:lnTo>
                  <a:pt x="1319561" y="771293"/>
                </a:lnTo>
                <a:lnTo>
                  <a:pt x="1361378" y="831695"/>
                </a:lnTo>
                <a:lnTo>
                  <a:pt x="1361378" y="859573"/>
                </a:lnTo>
                <a:lnTo>
                  <a:pt x="1333500" y="896744"/>
                </a:lnTo>
                <a:lnTo>
                  <a:pt x="1328854" y="924622"/>
                </a:lnTo>
                <a:lnTo>
                  <a:pt x="1393903" y="980378"/>
                </a:lnTo>
                <a:lnTo>
                  <a:pt x="1449659" y="1012903"/>
                </a:lnTo>
                <a:lnTo>
                  <a:pt x="1477537" y="1068659"/>
                </a:lnTo>
                <a:lnTo>
                  <a:pt x="1472891" y="1105829"/>
                </a:lnTo>
                <a:lnTo>
                  <a:pt x="1384610" y="1105829"/>
                </a:lnTo>
                <a:lnTo>
                  <a:pt x="1370671" y="1138354"/>
                </a:lnTo>
                <a:lnTo>
                  <a:pt x="1328854" y="1059366"/>
                </a:lnTo>
                <a:lnTo>
                  <a:pt x="1268452" y="1031488"/>
                </a:lnTo>
                <a:lnTo>
                  <a:pt x="1184817" y="1064012"/>
                </a:lnTo>
                <a:lnTo>
                  <a:pt x="1119769" y="1101183"/>
                </a:lnTo>
                <a:lnTo>
                  <a:pt x="1031488" y="1161586"/>
                </a:lnTo>
                <a:lnTo>
                  <a:pt x="1073305" y="1208049"/>
                </a:lnTo>
                <a:lnTo>
                  <a:pt x="1045427" y="1240573"/>
                </a:lnTo>
                <a:lnTo>
                  <a:pt x="1105830" y="1273098"/>
                </a:lnTo>
                <a:lnTo>
                  <a:pt x="1105830" y="1314915"/>
                </a:lnTo>
                <a:lnTo>
                  <a:pt x="1087244" y="1370671"/>
                </a:lnTo>
                <a:lnTo>
                  <a:pt x="1050074" y="1398549"/>
                </a:lnTo>
                <a:lnTo>
                  <a:pt x="989671" y="1403195"/>
                </a:lnTo>
                <a:lnTo>
                  <a:pt x="947854" y="1403195"/>
                </a:lnTo>
                <a:lnTo>
                  <a:pt x="882805" y="1370671"/>
                </a:lnTo>
                <a:lnTo>
                  <a:pt x="808464" y="1366025"/>
                </a:lnTo>
                <a:lnTo>
                  <a:pt x="766647" y="1314915"/>
                </a:lnTo>
                <a:lnTo>
                  <a:pt x="743415" y="1254512"/>
                </a:lnTo>
                <a:lnTo>
                  <a:pt x="636549" y="1235927"/>
                </a:lnTo>
                <a:lnTo>
                  <a:pt x="576147" y="1203403"/>
                </a:lnTo>
                <a:lnTo>
                  <a:pt x="511098" y="1170878"/>
                </a:lnTo>
                <a:lnTo>
                  <a:pt x="469281" y="1226634"/>
                </a:lnTo>
                <a:lnTo>
                  <a:pt x="367061" y="1147647"/>
                </a:lnTo>
                <a:lnTo>
                  <a:pt x="311305" y="1087244"/>
                </a:lnTo>
                <a:lnTo>
                  <a:pt x="250903" y="1008256"/>
                </a:lnTo>
                <a:lnTo>
                  <a:pt x="185854" y="938561"/>
                </a:lnTo>
                <a:lnTo>
                  <a:pt x="120805" y="878159"/>
                </a:lnTo>
                <a:lnTo>
                  <a:pt x="78988" y="789878"/>
                </a:lnTo>
                <a:lnTo>
                  <a:pt x="41817" y="715537"/>
                </a:lnTo>
                <a:lnTo>
                  <a:pt x="4647" y="659781"/>
                </a:lnTo>
                <a:lnTo>
                  <a:pt x="0" y="552915"/>
                </a:lnTo>
                <a:lnTo>
                  <a:pt x="9293" y="450695"/>
                </a:lnTo>
                <a:lnTo>
                  <a:pt x="27878" y="357768"/>
                </a:lnTo>
                <a:lnTo>
                  <a:pt x="55756" y="292720"/>
                </a:lnTo>
                <a:lnTo>
                  <a:pt x="18586" y="190500"/>
                </a:lnTo>
                <a:lnTo>
                  <a:pt x="9293" y="125451"/>
                </a:lnTo>
                <a:lnTo>
                  <a:pt x="102220" y="88281"/>
                </a:lnTo>
                <a:lnTo>
                  <a:pt x="176561" y="92927"/>
                </a:lnTo>
                <a:lnTo>
                  <a:pt x="185854" y="0"/>
                </a:lnTo>
                <a:lnTo>
                  <a:pt x="288074" y="65049"/>
                </a:lnTo>
                <a:lnTo>
                  <a:pt x="371708" y="27878"/>
                </a:lnTo>
                <a:lnTo>
                  <a:pt x="683013" y="329890"/>
                </a:lnTo>
                <a:lnTo>
                  <a:pt x="729476" y="329890"/>
                </a:lnTo>
                <a:lnTo>
                  <a:pt x="762000" y="390293"/>
                </a:lnTo>
                <a:lnTo>
                  <a:pt x="799171" y="376354"/>
                </a:lnTo>
                <a:lnTo>
                  <a:pt x="780586" y="325244"/>
                </a:lnTo>
                <a:lnTo>
                  <a:pt x="789878" y="302012"/>
                </a:lnTo>
                <a:lnTo>
                  <a:pt x="827049" y="334537"/>
                </a:lnTo>
                <a:lnTo>
                  <a:pt x="901391" y="302012"/>
                </a:lnTo>
                <a:lnTo>
                  <a:pt x="1017549" y="320598"/>
                </a:lnTo>
                <a:close/>
              </a:path>
            </a:pathLst>
          </a:custGeom>
          <a:solidFill>
            <a:srgbClr val="8EA9DB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9" name="Freeform 58"/>
          <xdr:cNvSpPr/>
        </xdr:nvSpPr>
        <xdr:spPr>
          <a:xfrm>
            <a:off x="4897055" y="2877547"/>
            <a:ext cx="239736" cy="233223"/>
          </a:xfrm>
          <a:custGeom>
            <a:avLst/>
            <a:gdLst>
              <a:gd name="connsiteX0" fmla="*/ 0 w 353122"/>
              <a:gd name="connsiteY0" fmla="*/ 0 h 343830"/>
              <a:gd name="connsiteX1" fmla="*/ 167268 w 353122"/>
              <a:gd name="connsiteY1" fmla="*/ 264842 h 343830"/>
              <a:gd name="connsiteX2" fmla="*/ 223024 w 353122"/>
              <a:gd name="connsiteY2" fmla="*/ 227671 h 343830"/>
              <a:gd name="connsiteX3" fmla="*/ 353122 w 353122"/>
              <a:gd name="connsiteY3" fmla="*/ 343830 h 343830"/>
              <a:gd name="connsiteX4" fmla="*/ 353122 w 353122"/>
              <a:gd name="connsiteY4" fmla="*/ 325244 h 343830"/>
              <a:gd name="connsiteX5" fmla="*/ 236963 w 353122"/>
              <a:gd name="connsiteY5" fmla="*/ 204439 h 343830"/>
              <a:gd name="connsiteX6" fmla="*/ 209085 w 353122"/>
              <a:gd name="connsiteY6" fmla="*/ 153330 h 343830"/>
              <a:gd name="connsiteX7" fmla="*/ 176561 w 353122"/>
              <a:gd name="connsiteY7" fmla="*/ 190500 h 343830"/>
              <a:gd name="connsiteX8" fmla="*/ 144036 w 353122"/>
              <a:gd name="connsiteY8" fmla="*/ 181208 h 343830"/>
              <a:gd name="connsiteX9" fmla="*/ 0 w 353122"/>
              <a:gd name="connsiteY9" fmla="*/ 0 h 3438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353122" h="343830">
                <a:moveTo>
                  <a:pt x="0" y="0"/>
                </a:moveTo>
                <a:lnTo>
                  <a:pt x="167268" y="264842"/>
                </a:lnTo>
                <a:lnTo>
                  <a:pt x="223024" y="227671"/>
                </a:lnTo>
                <a:lnTo>
                  <a:pt x="353122" y="343830"/>
                </a:lnTo>
                <a:lnTo>
                  <a:pt x="353122" y="325244"/>
                </a:lnTo>
                <a:lnTo>
                  <a:pt x="236963" y="204439"/>
                </a:lnTo>
                <a:lnTo>
                  <a:pt x="209085" y="153330"/>
                </a:lnTo>
                <a:lnTo>
                  <a:pt x="176561" y="190500"/>
                </a:lnTo>
                <a:lnTo>
                  <a:pt x="144036" y="181208"/>
                </a:lnTo>
                <a:lnTo>
                  <a:pt x="0" y="0"/>
                </a:lnTo>
                <a:close/>
              </a:path>
            </a:pathLst>
          </a:custGeom>
          <a:solidFill>
            <a:srgbClr val="8EA9DB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2</xdr:col>
      <xdr:colOff>488210</xdr:colOff>
      <xdr:row>9</xdr:row>
      <xdr:rowOff>134533</xdr:rowOff>
    </xdr:from>
    <xdr:to>
      <xdr:col>4</xdr:col>
      <xdr:colOff>178327</xdr:colOff>
      <xdr:row>16</xdr:row>
      <xdr:rowOff>132526</xdr:rowOff>
    </xdr:to>
    <xdr:grpSp>
      <xdr:nvGrpSpPr>
        <xdr:cNvPr id="19" name="Primorsko_goranska_županija"/>
        <xdr:cNvGrpSpPr/>
      </xdr:nvGrpSpPr>
      <xdr:grpSpPr>
        <a:xfrm>
          <a:off x="2555135" y="2106208"/>
          <a:ext cx="890267" cy="1331493"/>
          <a:chOff x="1204466" y="1874921"/>
          <a:chExt cx="1322383" cy="1962957"/>
        </a:xfrm>
        <a:solidFill>
          <a:schemeClr val="bg1">
            <a:lumMod val="65000"/>
          </a:schemeClr>
        </a:solidFill>
      </xdr:grpSpPr>
      <xdr:sp macro="" textlink="">
        <xdr:nvSpPr>
          <xdr:cNvPr id="50" name="Freeform 49"/>
          <xdr:cNvSpPr/>
        </xdr:nvSpPr>
        <xdr:spPr>
          <a:xfrm>
            <a:off x="1204466" y="1874921"/>
            <a:ext cx="1322383" cy="1027697"/>
          </a:xfrm>
          <a:custGeom>
            <a:avLst/>
            <a:gdLst>
              <a:gd name="connsiteX0" fmla="*/ 1303421 w 1318460"/>
              <a:gd name="connsiteY0" fmla="*/ 386013 h 1027697"/>
              <a:gd name="connsiteX1" fmla="*/ 1213184 w 1318460"/>
              <a:gd name="connsiteY1" fmla="*/ 411079 h 1027697"/>
              <a:gd name="connsiteX2" fmla="*/ 1112921 w 1318460"/>
              <a:gd name="connsiteY2" fmla="*/ 300790 h 1027697"/>
              <a:gd name="connsiteX3" fmla="*/ 1042737 w 1318460"/>
              <a:gd name="connsiteY3" fmla="*/ 300790 h 1027697"/>
              <a:gd name="connsiteX4" fmla="*/ 957513 w 1318460"/>
              <a:gd name="connsiteY4" fmla="*/ 240632 h 1027697"/>
              <a:gd name="connsiteX5" fmla="*/ 937460 w 1318460"/>
              <a:gd name="connsiteY5" fmla="*/ 310816 h 1027697"/>
              <a:gd name="connsiteX6" fmla="*/ 847224 w 1318460"/>
              <a:gd name="connsiteY6" fmla="*/ 350921 h 1027697"/>
              <a:gd name="connsiteX7" fmla="*/ 802105 w 1318460"/>
              <a:gd name="connsiteY7" fmla="*/ 280737 h 1027697"/>
              <a:gd name="connsiteX8" fmla="*/ 691816 w 1318460"/>
              <a:gd name="connsiteY8" fmla="*/ 225592 h 1027697"/>
              <a:gd name="connsiteX9" fmla="*/ 686803 w 1318460"/>
              <a:gd name="connsiteY9" fmla="*/ 150395 h 1027697"/>
              <a:gd name="connsiteX10" fmla="*/ 586539 w 1318460"/>
              <a:gd name="connsiteY10" fmla="*/ 75197 h 1027697"/>
              <a:gd name="connsiteX11" fmla="*/ 586539 w 1318460"/>
              <a:gd name="connsiteY11" fmla="*/ 0 h 1027697"/>
              <a:gd name="connsiteX12" fmla="*/ 556460 w 1318460"/>
              <a:gd name="connsiteY12" fmla="*/ 0 h 1027697"/>
              <a:gd name="connsiteX13" fmla="*/ 496303 w 1318460"/>
              <a:gd name="connsiteY13" fmla="*/ 85224 h 1027697"/>
              <a:gd name="connsiteX14" fmla="*/ 461210 w 1318460"/>
              <a:gd name="connsiteY14" fmla="*/ 100263 h 1027697"/>
              <a:gd name="connsiteX15" fmla="*/ 461210 w 1318460"/>
              <a:gd name="connsiteY15" fmla="*/ 175461 h 1027697"/>
              <a:gd name="connsiteX16" fmla="*/ 375987 w 1318460"/>
              <a:gd name="connsiteY16" fmla="*/ 260684 h 1027697"/>
              <a:gd name="connsiteX17" fmla="*/ 250658 w 1318460"/>
              <a:gd name="connsiteY17" fmla="*/ 315829 h 1027697"/>
              <a:gd name="connsiteX18" fmla="*/ 195513 w 1318460"/>
              <a:gd name="connsiteY18" fmla="*/ 285750 h 1027697"/>
              <a:gd name="connsiteX19" fmla="*/ 170447 w 1318460"/>
              <a:gd name="connsiteY19" fmla="*/ 285750 h 1027697"/>
              <a:gd name="connsiteX20" fmla="*/ 170447 w 1318460"/>
              <a:gd name="connsiteY20" fmla="*/ 285750 h 1027697"/>
              <a:gd name="connsiteX21" fmla="*/ 90237 w 1318460"/>
              <a:gd name="connsiteY21" fmla="*/ 325855 h 1027697"/>
              <a:gd name="connsiteX22" fmla="*/ 0 w 1318460"/>
              <a:gd name="connsiteY22" fmla="*/ 310816 h 1027697"/>
              <a:gd name="connsiteX23" fmla="*/ 45118 w 1318460"/>
              <a:gd name="connsiteY23" fmla="*/ 391026 h 1027697"/>
              <a:gd name="connsiteX24" fmla="*/ 100263 w 1318460"/>
              <a:gd name="connsiteY24" fmla="*/ 421105 h 1027697"/>
              <a:gd name="connsiteX25" fmla="*/ 75197 w 1318460"/>
              <a:gd name="connsiteY25" fmla="*/ 481263 h 1027697"/>
              <a:gd name="connsiteX26" fmla="*/ 125329 w 1318460"/>
              <a:gd name="connsiteY26" fmla="*/ 521368 h 1027697"/>
              <a:gd name="connsiteX27" fmla="*/ 90237 w 1318460"/>
              <a:gd name="connsiteY27" fmla="*/ 586540 h 1027697"/>
              <a:gd name="connsiteX28" fmla="*/ 100263 w 1318460"/>
              <a:gd name="connsiteY28" fmla="*/ 691816 h 1027697"/>
              <a:gd name="connsiteX29" fmla="*/ 125329 w 1318460"/>
              <a:gd name="connsiteY29" fmla="*/ 827171 h 1027697"/>
              <a:gd name="connsiteX30" fmla="*/ 205539 w 1318460"/>
              <a:gd name="connsiteY30" fmla="*/ 556461 h 1027697"/>
              <a:gd name="connsiteX31" fmla="*/ 255671 w 1318460"/>
              <a:gd name="connsiteY31" fmla="*/ 516355 h 1027697"/>
              <a:gd name="connsiteX32" fmla="*/ 451184 w 1318460"/>
              <a:gd name="connsiteY32" fmla="*/ 581526 h 1027697"/>
              <a:gd name="connsiteX33" fmla="*/ 486276 w 1318460"/>
              <a:gd name="connsiteY33" fmla="*/ 631658 h 1027697"/>
              <a:gd name="connsiteX34" fmla="*/ 521368 w 1318460"/>
              <a:gd name="connsiteY34" fmla="*/ 606592 h 1027697"/>
              <a:gd name="connsiteX35" fmla="*/ 551447 w 1318460"/>
              <a:gd name="connsiteY35" fmla="*/ 691816 h 1027697"/>
              <a:gd name="connsiteX36" fmla="*/ 656724 w 1318460"/>
              <a:gd name="connsiteY36" fmla="*/ 782053 h 1027697"/>
              <a:gd name="connsiteX37" fmla="*/ 762000 w 1318460"/>
              <a:gd name="connsiteY37" fmla="*/ 867276 h 1027697"/>
              <a:gd name="connsiteX38" fmla="*/ 852237 w 1318460"/>
              <a:gd name="connsiteY38" fmla="*/ 902368 h 1027697"/>
              <a:gd name="connsiteX39" fmla="*/ 882316 w 1318460"/>
              <a:gd name="connsiteY39" fmla="*/ 962526 h 1027697"/>
              <a:gd name="connsiteX40" fmla="*/ 922421 w 1318460"/>
              <a:gd name="connsiteY40" fmla="*/ 1027697 h 1027697"/>
              <a:gd name="connsiteX41" fmla="*/ 1002631 w 1318460"/>
              <a:gd name="connsiteY41" fmla="*/ 977566 h 1027697"/>
              <a:gd name="connsiteX42" fmla="*/ 1077829 w 1318460"/>
              <a:gd name="connsiteY42" fmla="*/ 997618 h 1027697"/>
              <a:gd name="connsiteX43" fmla="*/ 1092868 w 1318460"/>
              <a:gd name="connsiteY43" fmla="*/ 912395 h 1027697"/>
              <a:gd name="connsiteX44" fmla="*/ 1042737 w 1318460"/>
              <a:gd name="connsiteY44" fmla="*/ 852237 h 1027697"/>
              <a:gd name="connsiteX45" fmla="*/ 1017671 w 1318460"/>
              <a:gd name="connsiteY45" fmla="*/ 696829 h 1027697"/>
              <a:gd name="connsiteX46" fmla="*/ 1037724 w 1318460"/>
              <a:gd name="connsiteY46" fmla="*/ 576513 h 1027697"/>
              <a:gd name="connsiteX47" fmla="*/ 1102895 w 1318460"/>
              <a:gd name="connsiteY47" fmla="*/ 576513 h 1027697"/>
              <a:gd name="connsiteX48" fmla="*/ 1173079 w 1318460"/>
              <a:gd name="connsiteY48" fmla="*/ 636671 h 1027697"/>
              <a:gd name="connsiteX49" fmla="*/ 1248276 w 1318460"/>
              <a:gd name="connsiteY49" fmla="*/ 571500 h 1027697"/>
              <a:gd name="connsiteX50" fmla="*/ 1318460 w 1318460"/>
              <a:gd name="connsiteY50" fmla="*/ 476250 h 1027697"/>
              <a:gd name="connsiteX51" fmla="*/ 1303421 w 1318460"/>
              <a:gd name="connsiteY51" fmla="*/ 386013 h 1027697"/>
              <a:gd name="connsiteX0" fmla="*/ 1303421 w 1318460"/>
              <a:gd name="connsiteY0" fmla="*/ 386013 h 1027697"/>
              <a:gd name="connsiteX1" fmla="*/ 1213184 w 1318460"/>
              <a:gd name="connsiteY1" fmla="*/ 411079 h 1027697"/>
              <a:gd name="connsiteX2" fmla="*/ 1112921 w 1318460"/>
              <a:gd name="connsiteY2" fmla="*/ 300790 h 1027697"/>
              <a:gd name="connsiteX3" fmla="*/ 1042737 w 1318460"/>
              <a:gd name="connsiteY3" fmla="*/ 300790 h 1027697"/>
              <a:gd name="connsiteX4" fmla="*/ 957513 w 1318460"/>
              <a:gd name="connsiteY4" fmla="*/ 240632 h 1027697"/>
              <a:gd name="connsiteX5" fmla="*/ 937460 w 1318460"/>
              <a:gd name="connsiteY5" fmla="*/ 310816 h 1027697"/>
              <a:gd name="connsiteX6" fmla="*/ 847224 w 1318460"/>
              <a:gd name="connsiteY6" fmla="*/ 350921 h 1027697"/>
              <a:gd name="connsiteX7" fmla="*/ 802105 w 1318460"/>
              <a:gd name="connsiteY7" fmla="*/ 280737 h 1027697"/>
              <a:gd name="connsiteX8" fmla="*/ 691816 w 1318460"/>
              <a:gd name="connsiteY8" fmla="*/ 225592 h 1027697"/>
              <a:gd name="connsiteX9" fmla="*/ 686803 w 1318460"/>
              <a:gd name="connsiteY9" fmla="*/ 150395 h 1027697"/>
              <a:gd name="connsiteX10" fmla="*/ 586539 w 1318460"/>
              <a:gd name="connsiteY10" fmla="*/ 75197 h 1027697"/>
              <a:gd name="connsiteX11" fmla="*/ 586539 w 1318460"/>
              <a:gd name="connsiteY11" fmla="*/ 0 h 1027697"/>
              <a:gd name="connsiteX12" fmla="*/ 556460 w 1318460"/>
              <a:gd name="connsiteY12" fmla="*/ 0 h 1027697"/>
              <a:gd name="connsiteX13" fmla="*/ 496303 w 1318460"/>
              <a:gd name="connsiteY13" fmla="*/ 85224 h 1027697"/>
              <a:gd name="connsiteX14" fmla="*/ 461210 w 1318460"/>
              <a:gd name="connsiteY14" fmla="*/ 100263 h 1027697"/>
              <a:gd name="connsiteX15" fmla="*/ 461210 w 1318460"/>
              <a:gd name="connsiteY15" fmla="*/ 175461 h 1027697"/>
              <a:gd name="connsiteX16" fmla="*/ 375987 w 1318460"/>
              <a:gd name="connsiteY16" fmla="*/ 260684 h 1027697"/>
              <a:gd name="connsiteX17" fmla="*/ 250658 w 1318460"/>
              <a:gd name="connsiteY17" fmla="*/ 315829 h 1027697"/>
              <a:gd name="connsiteX18" fmla="*/ 195513 w 1318460"/>
              <a:gd name="connsiteY18" fmla="*/ 285750 h 1027697"/>
              <a:gd name="connsiteX19" fmla="*/ 170447 w 1318460"/>
              <a:gd name="connsiteY19" fmla="*/ 285750 h 1027697"/>
              <a:gd name="connsiteX20" fmla="*/ 170447 w 1318460"/>
              <a:gd name="connsiteY20" fmla="*/ 285750 h 1027697"/>
              <a:gd name="connsiteX21" fmla="*/ 90237 w 1318460"/>
              <a:gd name="connsiteY21" fmla="*/ 325855 h 1027697"/>
              <a:gd name="connsiteX22" fmla="*/ 0 w 1318460"/>
              <a:gd name="connsiteY22" fmla="*/ 310816 h 1027697"/>
              <a:gd name="connsiteX23" fmla="*/ 45118 w 1318460"/>
              <a:gd name="connsiteY23" fmla="*/ 391026 h 1027697"/>
              <a:gd name="connsiteX24" fmla="*/ 100263 w 1318460"/>
              <a:gd name="connsiteY24" fmla="*/ 421105 h 1027697"/>
              <a:gd name="connsiteX25" fmla="*/ 75197 w 1318460"/>
              <a:gd name="connsiteY25" fmla="*/ 481263 h 1027697"/>
              <a:gd name="connsiteX26" fmla="*/ 125329 w 1318460"/>
              <a:gd name="connsiteY26" fmla="*/ 521368 h 1027697"/>
              <a:gd name="connsiteX27" fmla="*/ 90237 w 1318460"/>
              <a:gd name="connsiteY27" fmla="*/ 586540 h 1027697"/>
              <a:gd name="connsiteX28" fmla="*/ 100263 w 1318460"/>
              <a:gd name="connsiteY28" fmla="*/ 691816 h 1027697"/>
              <a:gd name="connsiteX29" fmla="*/ 125329 w 1318460"/>
              <a:gd name="connsiteY29" fmla="*/ 827171 h 1027697"/>
              <a:gd name="connsiteX30" fmla="*/ 205539 w 1318460"/>
              <a:gd name="connsiteY30" fmla="*/ 556461 h 1027697"/>
              <a:gd name="connsiteX31" fmla="*/ 255671 w 1318460"/>
              <a:gd name="connsiteY31" fmla="*/ 516355 h 1027697"/>
              <a:gd name="connsiteX32" fmla="*/ 451184 w 1318460"/>
              <a:gd name="connsiteY32" fmla="*/ 581526 h 1027697"/>
              <a:gd name="connsiteX33" fmla="*/ 486276 w 1318460"/>
              <a:gd name="connsiteY33" fmla="*/ 631658 h 1027697"/>
              <a:gd name="connsiteX34" fmla="*/ 521368 w 1318460"/>
              <a:gd name="connsiteY34" fmla="*/ 606592 h 1027697"/>
              <a:gd name="connsiteX35" fmla="*/ 551447 w 1318460"/>
              <a:gd name="connsiteY35" fmla="*/ 691816 h 1027697"/>
              <a:gd name="connsiteX36" fmla="*/ 656724 w 1318460"/>
              <a:gd name="connsiteY36" fmla="*/ 782053 h 1027697"/>
              <a:gd name="connsiteX37" fmla="*/ 762000 w 1318460"/>
              <a:gd name="connsiteY37" fmla="*/ 867276 h 1027697"/>
              <a:gd name="connsiteX38" fmla="*/ 852237 w 1318460"/>
              <a:gd name="connsiteY38" fmla="*/ 902368 h 1027697"/>
              <a:gd name="connsiteX39" fmla="*/ 882316 w 1318460"/>
              <a:gd name="connsiteY39" fmla="*/ 962526 h 1027697"/>
              <a:gd name="connsiteX40" fmla="*/ 922421 w 1318460"/>
              <a:gd name="connsiteY40" fmla="*/ 1027697 h 1027697"/>
              <a:gd name="connsiteX41" fmla="*/ 1002631 w 1318460"/>
              <a:gd name="connsiteY41" fmla="*/ 987091 h 1027697"/>
              <a:gd name="connsiteX42" fmla="*/ 1077829 w 1318460"/>
              <a:gd name="connsiteY42" fmla="*/ 997618 h 1027697"/>
              <a:gd name="connsiteX43" fmla="*/ 1092868 w 1318460"/>
              <a:gd name="connsiteY43" fmla="*/ 912395 h 1027697"/>
              <a:gd name="connsiteX44" fmla="*/ 1042737 w 1318460"/>
              <a:gd name="connsiteY44" fmla="*/ 852237 h 1027697"/>
              <a:gd name="connsiteX45" fmla="*/ 1017671 w 1318460"/>
              <a:gd name="connsiteY45" fmla="*/ 696829 h 1027697"/>
              <a:gd name="connsiteX46" fmla="*/ 1037724 w 1318460"/>
              <a:gd name="connsiteY46" fmla="*/ 576513 h 1027697"/>
              <a:gd name="connsiteX47" fmla="*/ 1102895 w 1318460"/>
              <a:gd name="connsiteY47" fmla="*/ 576513 h 1027697"/>
              <a:gd name="connsiteX48" fmla="*/ 1173079 w 1318460"/>
              <a:gd name="connsiteY48" fmla="*/ 636671 h 1027697"/>
              <a:gd name="connsiteX49" fmla="*/ 1248276 w 1318460"/>
              <a:gd name="connsiteY49" fmla="*/ 571500 h 1027697"/>
              <a:gd name="connsiteX50" fmla="*/ 1318460 w 1318460"/>
              <a:gd name="connsiteY50" fmla="*/ 476250 h 1027697"/>
              <a:gd name="connsiteX51" fmla="*/ 1303421 w 1318460"/>
              <a:gd name="connsiteY51" fmla="*/ 386013 h 1027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318460" h="1027697">
                <a:moveTo>
                  <a:pt x="1303421" y="386013"/>
                </a:moveTo>
                <a:lnTo>
                  <a:pt x="1213184" y="411079"/>
                </a:lnTo>
                <a:lnTo>
                  <a:pt x="1112921" y="300790"/>
                </a:lnTo>
                <a:lnTo>
                  <a:pt x="1042737" y="300790"/>
                </a:lnTo>
                <a:lnTo>
                  <a:pt x="957513" y="240632"/>
                </a:lnTo>
                <a:lnTo>
                  <a:pt x="937460" y="310816"/>
                </a:lnTo>
                <a:lnTo>
                  <a:pt x="847224" y="350921"/>
                </a:lnTo>
                <a:lnTo>
                  <a:pt x="802105" y="280737"/>
                </a:lnTo>
                <a:lnTo>
                  <a:pt x="691816" y="225592"/>
                </a:lnTo>
                <a:lnTo>
                  <a:pt x="686803" y="150395"/>
                </a:lnTo>
                <a:lnTo>
                  <a:pt x="586539" y="75197"/>
                </a:lnTo>
                <a:lnTo>
                  <a:pt x="586539" y="0"/>
                </a:lnTo>
                <a:lnTo>
                  <a:pt x="556460" y="0"/>
                </a:lnTo>
                <a:lnTo>
                  <a:pt x="496303" y="85224"/>
                </a:lnTo>
                <a:lnTo>
                  <a:pt x="461210" y="100263"/>
                </a:lnTo>
                <a:lnTo>
                  <a:pt x="461210" y="175461"/>
                </a:lnTo>
                <a:lnTo>
                  <a:pt x="375987" y="260684"/>
                </a:lnTo>
                <a:lnTo>
                  <a:pt x="250658" y="315829"/>
                </a:lnTo>
                <a:lnTo>
                  <a:pt x="195513" y="285750"/>
                </a:lnTo>
                <a:lnTo>
                  <a:pt x="170447" y="285750"/>
                </a:lnTo>
                <a:lnTo>
                  <a:pt x="170447" y="285750"/>
                </a:lnTo>
                <a:lnTo>
                  <a:pt x="90237" y="325855"/>
                </a:lnTo>
                <a:lnTo>
                  <a:pt x="0" y="310816"/>
                </a:lnTo>
                <a:lnTo>
                  <a:pt x="45118" y="391026"/>
                </a:lnTo>
                <a:lnTo>
                  <a:pt x="100263" y="421105"/>
                </a:lnTo>
                <a:lnTo>
                  <a:pt x="75197" y="481263"/>
                </a:lnTo>
                <a:lnTo>
                  <a:pt x="125329" y="521368"/>
                </a:lnTo>
                <a:lnTo>
                  <a:pt x="90237" y="586540"/>
                </a:lnTo>
                <a:lnTo>
                  <a:pt x="100263" y="691816"/>
                </a:lnTo>
                <a:lnTo>
                  <a:pt x="125329" y="827171"/>
                </a:lnTo>
                <a:lnTo>
                  <a:pt x="205539" y="556461"/>
                </a:lnTo>
                <a:lnTo>
                  <a:pt x="255671" y="516355"/>
                </a:lnTo>
                <a:lnTo>
                  <a:pt x="451184" y="581526"/>
                </a:lnTo>
                <a:lnTo>
                  <a:pt x="486276" y="631658"/>
                </a:lnTo>
                <a:lnTo>
                  <a:pt x="521368" y="606592"/>
                </a:lnTo>
                <a:lnTo>
                  <a:pt x="551447" y="691816"/>
                </a:lnTo>
                <a:lnTo>
                  <a:pt x="656724" y="782053"/>
                </a:lnTo>
                <a:lnTo>
                  <a:pt x="762000" y="867276"/>
                </a:lnTo>
                <a:lnTo>
                  <a:pt x="852237" y="902368"/>
                </a:lnTo>
                <a:lnTo>
                  <a:pt x="882316" y="962526"/>
                </a:lnTo>
                <a:lnTo>
                  <a:pt x="922421" y="1027697"/>
                </a:lnTo>
                <a:lnTo>
                  <a:pt x="1002631" y="987091"/>
                </a:lnTo>
                <a:lnTo>
                  <a:pt x="1077829" y="997618"/>
                </a:lnTo>
                <a:lnTo>
                  <a:pt x="1092868" y="912395"/>
                </a:lnTo>
                <a:lnTo>
                  <a:pt x="1042737" y="852237"/>
                </a:lnTo>
                <a:lnTo>
                  <a:pt x="1017671" y="696829"/>
                </a:lnTo>
                <a:lnTo>
                  <a:pt x="1037724" y="576513"/>
                </a:lnTo>
                <a:lnTo>
                  <a:pt x="1102895" y="576513"/>
                </a:lnTo>
                <a:lnTo>
                  <a:pt x="1173079" y="636671"/>
                </a:lnTo>
                <a:lnTo>
                  <a:pt x="1248276" y="571500"/>
                </a:lnTo>
                <a:lnTo>
                  <a:pt x="1318460" y="476250"/>
                </a:lnTo>
                <a:lnTo>
                  <a:pt x="1303421" y="386013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386247" y="2692066"/>
            <a:ext cx="305802" cy="927434"/>
          </a:xfrm>
          <a:custGeom>
            <a:avLst/>
            <a:gdLst>
              <a:gd name="connsiteX0" fmla="*/ 65171 w 305802"/>
              <a:gd name="connsiteY0" fmla="*/ 0 h 927434"/>
              <a:gd name="connsiteX1" fmla="*/ 0 w 305802"/>
              <a:gd name="connsiteY1" fmla="*/ 90237 h 927434"/>
              <a:gd name="connsiteX2" fmla="*/ 90236 w 305802"/>
              <a:gd name="connsiteY2" fmla="*/ 220579 h 927434"/>
              <a:gd name="connsiteX3" fmla="*/ 90236 w 305802"/>
              <a:gd name="connsiteY3" fmla="*/ 260684 h 927434"/>
              <a:gd name="connsiteX4" fmla="*/ 155407 w 305802"/>
              <a:gd name="connsiteY4" fmla="*/ 355934 h 927434"/>
              <a:gd name="connsiteX5" fmla="*/ 140368 w 305802"/>
              <a:gd name="connsiteY5" fmla="*/ 436145 h 927434"/>
              <a:gd name="connsiteX6" fmla="*/ 95250 w 305802"/>
              <a:gd name="connsiteY6" fmla="*/ 441158 h 927434"/>
              <a:gd name="connsiteX7" fmla="*/ 60157 w 305802"/>
              <a:gd name="connsiteY7" fmla="*/ 355934 h 927434"/>
              <a:gd name="connsiteX8" fmla="*/ 30079 w 305802"/>
              <a:gd name="connsiteY8" fmla="*/ 416092 h 927434"/>
              <a:gd name="connsiteX9" fmla="*/ 65171 w 305802"/>
              <a:gd name="connsiteY9" fmla="*/ 496302 h 927434"/>
              <a:gd name="connsiteX10" fmla="*/ 75197 w 305802"/>
              <a:gd name="connsiteY10" fmla="*/ 561473 h 927434"/>
              <a:gd name="connsiteX11" fmla="*/ 110289 w 305802"/>
              <a:gd name="connsiteY11" fmla="*/ 606592 h 927434"/>
              <a:gd name="connsiteX12" fmla="*/ 110289 w 305802"/>
              <a:gd name="connsiteY12" fmla="*/ 671763 h 927434"/>
              <a:gd name="connsiteX13" fmla="*/ 150394 w 305802"/>
              <a:gd name="connsiteY13" fmla="*/ 721895 h 927434"/>
              <a:gd name="connsiteX14" fmla="*/ 150394 w 305802"/>
              <a:gd name="connsiteY14" fmla="*/ 807118 h 927434"/>
              <a:gd name="connsiteX15" fmla="*/ 230605 w 305802"/>
              <a:gd name="connsiteY15" fmla="*/ 927434 h 927434"/>
              <a:gd name="connsiteX16" fmla="*/ 305802 w 305802"/>
              <a:gd name="connsiteY16" fmla="*/ 907381 h 927434"/>
              <a:gd name="connsiteX17" fmla="*/ 275723 w 305802"/>
              <a:gd name="connsiteY17" fmla="*/ 832184 h 927434"/>
              <a:gd name="connsiteX18" fmla="*/ 235618 w 305802"/>
              <a:gd name="connsiteY18" fmla="*/ 746960 h 927434"/>
              <a:gd name="connsiteX19" fmla="*/ 235618 w 305802"/>
              <a:gd name="connsiteY19" fmla="*/ 646697 h 927434"/>
              <a:gd name="connsiteX20" fmla="*/ 210552 w 305802"/>
              <a:gd name="connsiteY20" fmla="*/ 621631 h 927434"/>
              <a:gd name="connsiteX21" fmla="*/ 230605 w 305802"/>
              <a:gd name="connsiteY21" fmla="*/ 561473 h 927434"/>
              <a:gd name="connsiteX22" fmla="*/ 180473 w 305802"/>
              <a:gd name="connsiteY22" fmla="*/ 516355 h 927434"/>
              <a:gd name="connsiteX23" fmla="*/ 210552 w 305802"/>
              <a:gd name="connsiteY23" fmla="*/ 461210 h 927434"/>
              <a:gd name="connsiteX24" fmla="*/ 220579 w 305802"/>
              <a:gd name="connsiteY24" fmla="*/ 340895 h 927434"/>
              <a:gd name="connsiteX25" fmla="*/ 165434 w 305802"/>
              <a:gd name="connsiteY25" fmla="*/ 285750 h 927434"/>
              <a:gd name="connsiteX26" fmla="*/ 125329 w 305802"/>
              <a:gd name="connsiteY26" fmla="*/ 165434 h 927434"/>
              <a:gd name="connsiteX27" fmla="*/ 65171 w 305802"/>
              <a:gd name="connsiteY27" fmla="*/ 0 h 9274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05802" h="927434">
                <a:moveTo>
                  <a:pt x="65171" y="0"/>
                </a:moveTo>
                <a:lnTo>
                  <a:pt x="0" y="90237"/>
                </a:lnTo>
                <a:lnTo>
                  <a:pt x="90236" y="220579"/>
                </a:lnTo>
                <a:lnTo>
                  <a:pt x="90236" y="260684"/>
                </a:lnTo>
                <a:lnTo>
                  <a:pt x="155407" y="355934"/>
                </a:lnTo>
                <a:lnTo>
                  <a:pt x="140368" y="436145"/>
                </a:lnTo>
                <a:lnTo>
                  <a:pt x="95250" y="441158"/>
                </a:lnTo>
                <a:lnTo>
                  <a:pt x="60157" y="355934"/>
                </a:lnTo>
                <a:lnTo>
                  <a:pt x="30079" y="416092"/>
                </a:lnTo>
                <a:lnTo>
                  <a:pt x="65171" y="496302"/>
                </a:lnTo>
                <a:lnTo>
                  <a:pt x="75197" y="561473"/>
                </a:lnTo>
                <a:lnTo>
                  <a:pt x="110289" y="606592"/>
                </a:lnTo>
                <a:lnTo>
                  <a:pt x="110289" y="671763"/>
                </a:lnTo>
                <a:lnTo>
                  <a:pt x="150394" y="721895"/>
                </a:lnTo>
                <a:lnTo>
                  <a:pt x="150394" y="807118"/>
                </a:lnTo>
                <a:lnTo>
                  <a:pt x="230605" y="927434"/>
                </a:lnTo>
                <a:lnTo>
                  <a:pt x="305802" y="907381"/>
                </a:lnTo>
                <a:lnTo>
                  <a:pt x="275723" y="832184"/>
                </a:lnTo>
                <a:lnTo>
                  <a:pt x="235618" y="746960"/>
                </a:lnTo>
                <a:lnTo>
                  <a:pt x="235618" y="646697"/>
                </a:lnTo>
                <a:lnTo>
                  <a:pt x="210552" y="621631"/>
                </a:lnTo>
                <a:lnTo>
                  <a:pt x="230605" y="561473"/>
                </a:lnTo>
                <a:lnTo>
                  <a:pt x="180473" y="516355"/>
                </a:lnTo>
                <a:lnTo>
                  <a:pt x="210552" y="461210"/>
                </a:lnTo>
                <a:lnTo>
                  <a:pt x="220579" y="340895"/>
                </a:lnTo>
                <a:lnTo>
                  <a:pt x="165434" y="285750"/>
                </a:lnTo>
                <a:lnTo>
                  <a:pt x="125329" y="165434"/>
                </a:lnTo>
                <a:lnTo>
                  <a:pt x="65171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581760" y="2596816"/>
            <a:ext cx="457505" cy="481263"/>
          </a:xfrm>
          <a:custGeom>
            <a:avLst/>
            <a:gdLst>
              <a:gd name="connsiteX0" fmla="*/ 140368 w 456197"/>
              <a:gd name="connsiteY0" fmla="*/ 0 h 481263"/>
              <a:gd name="connsiteX1" fmla="*/ 140368 w 456197"/>
              <a:gd name="connsiteY1" fmla="*/ 105276 h 481263"/>
              <a:gd name="connsiteX2" fmla="*/ 110289 w 456197"/>
              <a:gd name="connsiteY2" fmla="*/ 130342 h 481263"/>
              <a:gd name="connsiteX3" fmla="*/ 105276 w 456197"/>
              <a:gd name="connsiteY3" fmla="*/ 180473 h 481263"/>
              <a:gd name="connsiteX4" fmla="*/ 55144 w 456197"/>
              <a:gd name="connsiteY4" fmla="*/ 175460 h 481263"/>
              <a:gd name="connsiteX5" fmla="*/ 30079 w 456197"/>
              <a:gd name="connsiteY5" fmla="*/ 225592 h 481263"/>
              <a:gd name="connsiteX6" fmla="*/ 0 w 456197"/>
              <a:gd name="connsiteY6" fmla="*/ 235618 h 481263"/>
              <a:gd name="connsiteX7" fmla="*/ 90237 w 456197"/>
              <a:gd name="connsiteY7" fmla="*/ 350921 h 481263"/>
              <a:gd name="connsiteX8" fmla="*/ 155408 w 456197"/>
              <a:gd name="connsiteY8" fmla="*/ 330868 h 481263"/>
              <a:gd name="connsiteX9" fmla="*/ 205539 w 456197"/>
              <a:gd name="connsiteY9" fmla="*/ 330868 h 481263"/>
              <a:gd name="connsiteX10" fmla="*/ 220579 w 456197"/>
              <a:gd name="connsiteY10" fmla="*/ 355934 h 481263"/>
              <a:gd name="connsiteX11" fmla="*/ 220579 w 456197"/>
              <a:gd name="connsiteY11" fmla="*/ 421105 h 481263"/>
              <a:gd name="connsiteX12" fmla="*/ 290763 w 456197"/>
              <a:gd name="connsiteY12" fmla="*/ 436145 h 481263"/>
              <a:gd name="connsiteX13" fmla="*/ 350921 w 456197"/>
              <a:gd name="connsiteY13" fmla="*/ 481263 h 481263"/>
              <a:gd name="connsiteX14" fmla="*/ 386013 w 456197"/>
              <a:gd name="connsiteY14" fmla="*/ 466223 h 481263"/>
              <a:gd name="connsiteX15" fmla="*/ 391026 w 456197"/>
              <a:gd name="connsiteY15" fmla="*/ 421105 h 481263"/>
              <a:gd name="connsiteX16" fmla="*/ 456197 w 456197"/>
              <a:gd name="connsiteY16" fmla="*/ 426118 h 481263"/>
              <a:gd name="connsiteX17" fmla="*/ 446171 w 456197"/>
              <a:gd name="connsiteY17" fmla="*/ 365960 h 481263"/>
              <a:gd name="connsiteX18" fmla="*/ 401052 w 456197"/>
              <a:gd name="connsiteY18" fmla="*/ 340895 h 481263"/>
              <a:gd name="connsiteX19" fmla="*/ 381000 w 456197"/>
              <a:gd name="connsiteY19" fmla="*/ 270710 h 481263"/>
              <a:gd name="connsiteX20" fmla="*/ 315829 w 456197"/>
              <a:gd name="connsiteY20" fmla="*/ 255671 h 481263"/>
              <a:gd name="connsiteX21" fmla="*/ 260684 w 456197"/>
              <a:gd name="connsiteY21" fmla="*/ 195513 h 481263"/>
              <a:gd name="connsiteX22" fmla="*/ 285750 w 456197"/>
              <a:gd name="connsiteY22" fmla="*/ 140368 h 481263"/>
              <a:gd name="connsiteX23" fmla="*/ 225592 w 456197"/>
              <a:gd name="connsiteY23" fmla="*/ 115302 h 481263"/>
              <a:gd name="connsiteX24" fmla="*/ 185487 w 456197"/>
              <a:gd name="connsiteY24" fmla="*/ 115302 h 481263"/>
              <a:gd name="connsiteX25" fmla="*/ 195513 w 456197"/>
              <a:gd name="connsiteY25" fmla="*/ 50131 h 481263"/>
              <a:gd name="connsiteX26" fmla="*/ 140368 w 456197"/>
              <a:gd name="connsiteY26" fmla="*/ 0 h 4812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456197" h="481263">
                <a:moveTo>
                  <a:pt x="140368" y="0"/>
                </a:moveTo>
                <a:lnTo>
                  <a:pt x="140368" y="105276"/>
                </a:lnTo>
                <a:lnTo>
                  <a:pt x="110289" y="130342"/>
                </a:lnTo>
                <a:lnTo>
                  <a:pt x="105276" y="180473"/>
                </a:lnTo>
                <a:lnTo>
                  <a:pt x="55144" y="175460"/>
                </a:lnTo>
                <a:lnTo>
                  <a:pt x="30079" y="225592"/>
                </a:lnTo>
                <a:lnTo>
                  <a:pt x="0" y="235618"/>
                </a:lnTo>
                <a:lnTo>
                  <a:pt x="90237" y="350921"/>
                </a:lnTo>
                <a:lnTo>
                  <a:pt x="155408" y="330868"/>
                </a:lnTo>
                <a:lnTo>
                  <a:pt x="205539" y="330868"/>
                </a:lnTo>
                <a:lnTo>
                  <a:pt x="220579" y="355934"/>
                </a:lnTo>
                <a:lnTo>
                  <a:pt x="220579" y="421105"/>
                </a:lnTo>
                <a:lnTo>
                  <a:pt x="290763" y="436145"/>
                </a:lnTo>
                <a:lnTo>
                  <a:pt x="350921" y="481263"/>
                </a:lnTo>
                <a:lnTo>
                  <a:pt x="386013" y="466223"/>
                </a:lnTo>
                <a:lnTo>
                  <a:pt x="391026" y="421105"/>
                </a:lnTo>
                <a:lnTo>
                  <a:pt x="456197" y="426118"/>
                </a:lnTo>
                <a:lnTo>
                  <a:pt x="446171" y="365960"/>
                </a:lnTo>
                <a:lnTo>
                  <a:pt x="401052" y="340895"/>
                </a:lnTo>
                <a:lnTo>
                  <a:pt x="381000" y="270710"/>
                </a:lnTo>
                <a:lnTo>
                  <a:pt x="315829" y="255671"/>
                </a:lnTo>
                <a:lnTo>
                  <a:pt x="260684" y="195513"/>
                </a:lnTo>
                <a:lnTo>
                  <a:pt x="285750" y="140368"/>
                </a:lnTo>
                <a:lnTo>
                  <a:pt x="225592" y="115302"/>
                </a:lnTo>
                <a:lnTo>
                  <a:pt x="185487" y="115302"/>
                </a:lnTo>
                <a:lnTo>
                  <a:pt x="195513" y="50131"/>
                </a:lnTo>
                <a:lnTo>
                  <a:pt x="140368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3" name="Freeform 52"/>
          <xdr:cNvSpPr/>
        </xdr:nvSpPr>
        <xdr:spPr>
          <a:xfrm>
            <a:off x="1476483" y="3464092"/>
            <a:ext cx="50132" cy="120316"/>
          </a:xfrm>
          <a:custGeom>
            <a:avLst/>
            <a:gdLst>
              <a:gd name="connsiteX0" fmla="*/ 0 w 50132"/>
              <a:gd name="connsiteY0" fmla="*/ 0 h 120316"/>
              <a:gd name="connsiteX1" fmla="*/ 50132 w 50132"/>
              <a:gd name="connsiteY1" fmla="*/ 75197 h 120316"/>
              <a:gd name="connsiteX2" fmla="*/ 30079 w 50132"/>
              <a:gd name="connsiteY2" fmla="*/ 120316 h 120316"/>
              <a:gd name="connsiteX3" fmla="*/ 0 w 50132"/>
              <a:gd name="connsiteY3" fmla="*/ 0 h 1203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0132" h="120316">
                <a:moveTo>
                  <a:pt x="0" y="0"/>
                </a:moveTo>
                <a:lnTo>
                  <a:pt x="50132" y="75197"/>
                </a:lnTo>
                <a:lnTo>
                  <a:pt x="30079" y="120316"/>
                </a:lnTo>
                <a:lnTo>
                  <a:pt x="0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4" name="Freeform 53"/>
          <xdr:cNvSpPr/>
        </xdr:nvSpPr>
        <xdr:spPr>
          <a:xfrm>
            <a:off x="1490668" y="3619500"/>
            <a:ext cx="60402" cy="74341"/>
          </a:xfrm>
          <a:custGeom>
            <a:avLst/>
            <a:gdLst>
              <a:gd name="connsiteX0" fmla="*/ 18585 w 60402"/>
              <a:gd name="connsiteY0" fmla="*/ 0 h 74341"/>
              <a:gd name="connsiteX1" fmla="*/ 0 w 60402"/>
              <a:gd name="connsiteY1" fmla="*/ 51110 h 74341"/>
              <a:gd name="connsiteX2" fmla="*/ 27878 w 60402"/>
              <a:gd name="connsiteY2" fmla="*/ 74341 h 74341"/>
              <a:gd name="connsiteX3" fmla="*/ 55756 w 60402"/>
              <a:gd name="connsiteY3" fmla="*/ 74341 h 74341"/>
              <a:gd name="connsiteX4" fmla="*/ 60402 w 60402"/>
              <a:gd name="connsiteY4" fmla="*/ 37171 h 74341"/>
              <a:gd name="connsiteX5" fmla="*/ 18585 w 60402"/>
              <a:gd name="connsiteY5" fmla="*/ 0 h 7434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60402" h="74341">
                <a:moveTo>
                  <a:pt x="18585" y="0"/>
                </a:moveTo>
                <a:lnTo>
                  <a:pt x="0" y="51110"/>
                </a:lnTo>
                <a:lnTo>
                  <a:pt x="27878" y="74341"/>
                </a:lnTo>
                <a:lnTo>
                  <a:pt x="55756" y="74341"/>
                </a:lnTo>
                <a:lnTo>
                  <a:pt x="60402" y="37171"/>
                </a:lnTo>
                <a:lnTo>
                  <a:pt x="18585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7" name="Freeform 56"/>
          <xdr:cNvSpPr/>
        </xdr:nvSpPr>
        <xdr:spPr>
          <a:xfrm>
            <a:off x="1857325" y="3219915"/>
            <a:ext cx="236963" cy="241609"/>
          </a:xfrm>
          <a:custGeom>
            <a:avLst/>
            <a:gdLst>
              <a:gd name="connsiteX0" fmla="*/ 69695 w 236963"/>
              <a:gd name="connsiteY0" fmla="*/ 0 h 241609"/>
              <a:gd name="connsiteX1" fmla="*/ 65048 w 236963"/>
              <a:gd name="connsiteY1" fmla="*/ 69695 h 241609"/>
              <a:gd name="connsiteX2" fmla="*/ 0 w 236963"/>
              <a:gd name="connsiteY2" fmla="*/ 102219 h 241609"/>
              <a:gd name="connsiteX3" fmla="*/ 65048 w 236963"/>
              <a:gd name="connsiteY3" fmla="*/ 148683 h 241609"/>
              <a:gd name="connsiteX4" fmla="*/ 92926 w 236963"/>
              <a:gd name="connsiteY4" fmla="*/ 139390 h 241609"/>
              <a:gd name="connsiteX5" fmla="*/ 139390 w 236963"/>
              <a:gd name="connsiteY5" fmla="*/ 181207 h 241609"/>
              <a:gd name="connsiteX6" fmla="*/ 199792 w 236963"/>
              <a:gd name="connsiteY6" fmla="*/ 241609 h 241609"/>
              <a:gd name="connsiteX7" fmla="*/ 236963 w 236963"/>
              <a:gd name="connsiteY7" fmla="*/ 213731 h 241609"/>
              <a:gd name="connsiteX8" fmla="*/ 167268 w 236963"/>
              <a:gd name="connsiteY8" fmla="*/ 144036 h 241609"/>
              <a:gd name="connsiteX9" fmla="*/ 116158 w 236963"/>
              <a:gd name="connsiteY9" fmla="*/ 92926 h 241609"/>
              <a:gd name="connsiteX10" fmla="*/ 102219 w 236963"/>
              <a:gd name="connsiteY10" fmla="*/ 60402 h 241609"/>
              <a:gd name="connsiteX11" fmla="*/ 69695 w 236963"/>
              <a:gd name="connsiteY11" fmla="*/ 0 h 2416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36963" h="241609">
                <a:moveTo>
                  <a:pt x="69695" y="0"/>
                </a:moveTo>
                <a:lnTo>
                  <a:pt x="65048" y="69695"/>
                </a:lnTo>
                <a:lnTo>
                  <a:pt x="0" y="102219"/>
                </a:lnTo>
                <a:lnTo>
                  <a:pt x="65048" y="148683"/>
                </a:lnTo>
                <a:lnTo>
                  <a:pt x="92926" y="139390"/>
                </a:lnTo>
                <a:lnTo>
                  <a:pt x="139390" y="181207"/>
                </a:lnTo>
                <a:lnTo>
                  <a:pt x="199792" y="241609"/>
                </a:lnTo>
                <a:lnTo>
                  <a:pt x="236963" y="213731"/>
                </a:lnTo>
                <a:lnTo>
                  <a:pt x="167268" y="144036"/>
                </a:lnTo>
                <a:lnTo>
                  <a:pt x="116158" y="92926"/>
                </a:lnTo>
                <a:lnTo>
                  <a:pt x="102219" y="60402"/>
                </a:lnTo>
                <a:lnTo>
                  <a:pt x="69695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5" name="Freeform 54"/>
          <xdr:cNvSpPr/>
        </xdr:nvSpPr>
        <xdr:spPr>
          <a:xfrm>
            <a:off x="1588241" y="3717073"/>
            <a:ext cx="125451" cy="120805"/>
          </a:xfrm>
          <a:custGeom>
            <a:avLst/>
            <a:gdLst>
              <a:gd name="connsiteX0" fmla="*/ 0 w 125451"/>
              <a:gd name="connsiteY0" fmla="*/ 0 h 120805"/>
              <a:gd name="connsiteX1" fmla="*/ 13939 w 125451"/>
              <a:gd name="connsiteY1" fmla="*/ 55756 h 120805"/>
              <a:gd name="connsiteX2" fmla="*/ 88281 w 125451"/>
              <a:gd name="connsiteY2" fmla="*/ 120805 h 120805"/>
              <a:gd name="connsiteX3" fmla="*/ 125451 w 125451"/>
              <a:gd name="connsiteY3" fmla="*/ 92927 h 120805"/>
              <a:gd name="connsiteX4" fmla="*/ 69695 w 125451"/>
              <a:gd name="connsiteY4" fmla="*/ 46464 h 120805"/>
              <a:gd name="connsiteX5" fmla="*/ 0 w 125451"/>
              <a:gd name="connsiteY5" fmla="*/ 0 h 1208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25451" h="120805">
                <a:moveTo>
                  <a:pt x="0" y="0"/>
                </a:moveTo>
                <a:lnTo>
                  <a:pt x="13939" y="55756"/>
                </a:lnTo>
                <a:lnTo>
                  <a:pt x="88281" y="120805"/>
                </a:lnTo>
                <a:lnTo>
                  <a:pt x="125451" y="92927"/>
                </a:lnTo>
                <a:lnTo>
                  <a:pt x="69695" y="46464"/>
                </a:lnTo>
                <a:lnTo>
                  <a:pt x="0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56" name="Freeform 55"/>
          <xdr:cNvSpPr/>
        </xdr:nvSpPr>
        <xdr:spPr>
          <a:xfrm>
            <a:off x="1987422" y="3089817"/>
            <a:ext cx="78988" cy="60403"/>
          </a:xfrm>
          <a:custGeom>
            <a:avLst/>
            <a:gdLst>
              <a:gd name="connsiteX0" fmla="*/ 0 w 78988"/>
              <a:gd name="connsiteY0" fmla="*/ 0 h 60403"/>
              <a:gd name="connsiteX1" fmla="*/ 37171 w 78988"/>
              <a:gd name="connsiteY1" fmla="*/ 60403 h 60403"/>
              <a:gd name="connsiteX2" fmla="*/ 78988 w 78988"/>
              <a:gd name="connsiteY2" fmla="*/ 37171 h 60403"/>
              <a:gd name="connsiteX3" fmla="*/ 0 w 78988"/>
              <a:gd name="connsiteY3" fmla="*/ 0 h 60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8988" h="60403">
                <a:moveTo>
                  <a:pt x="0" y="0"/>
                </a:moveTo>
                <a:lnTo>
                  <a:pt x="37171" y="60403"/>
                </a:lnTo>
                <a:lnTo>
                  <a:pt x="78988" y="37171"/>
                </a:lnTo>
                <a:lnTo>
                  <a:pt x="0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3</xdr:col>
      <xdr:colOff>328043</xdr:colOff>
      <xdr:row>16</xdr:row>
      <xdr:rowOff>69493</xdr:rowOff>
    </xdr:from>
    <xdr:to>
      <xdr:col>5</xdr:col>
      <xdr:colOff>365732</xdr:colOff>
      <xdr:row>20</xdr:row>
      <xdr:rowOff>142613</xdr:rowOff>
    </xdr:to>
    <xdr:grpSp>
      <xdr:nvGrpSpPr>
        <xdr:cNvPr id="20" name="Zadarska_županija"/>
        <xdr:cNvGrpSpPr/>
      </xdr:nvGrpSpPr>
      <xdr:grpSpPr>
        <a:xfrm>
          <a:off x="2985518" y="3374668"/>
          <a:ext cx="1256889" cy="844645"/>
          <a:chOff x="1848032" y="3744951"/>
          <a:chExt cx="1857324" cy="1245220"/>
        </a:xfrm>
        <a:solidFill>
          <a:schemeClr val="bg1">
            <a:lumMod val="65000"/>
          </a:schemeClr>
        </a:solidFill>
      </xdr:grpSpPr>
      <xdr:sp macro="" textlink="">
        <xdr:nvSpPr>
          <xdr:cNvPr id="39" name="Freeform 38"/>
          <xdr:cNvSpPr/>
        </xdr:nvSpPr>
        <xdr:spPr>
          <a:xfrm>
            <a:off x="2400947" y="3805354"/>
            <a:ext cx="1304409" cy="1050073"/>
          </a:xfrm>
          <a:custGeom>
            <a:avLst/>
            <a:gdLst>
              <a:gd name="connsiteX0" fmla="*/ 1194109 w 1291682"/>
              <a:gd name="connsiteY0" fmla="*/ 74341 h 1050073"/>
              <a:gd name="connsiteX1" fmla="*/ 1194109 w 1291682"/>
              <a:gd name="connsiteY1" fmla="*/ 130097 h 1050073"/>
              <a:gd name="connsiteX2" fmla="*/ 1240573 w 1291682"/>
              <a:gd name="connsiteY2" fmla="*/ 153329 h 1050073"/>
              <a:gd name="connsiteX3" fmla="*/ 1198756 w 1291682"/>
              <a:gd name="connsiteY3" fmla="*/ 176561 h 1050073"/>
              <a:gd name="connsiteX4" fmla="*/ 1203402 w 1291682"/>
              <a:gd name="connsiteY4" fmla="*/ 199792 h 1050073"/>
              <a:gd name="connsiteX5" fmla="*/ 1231280 w 1291682"/>
              <a:gd name="connsiteY5" fmla="*/ 199792 h 1050073"/>
              <a:gd name="connsiteX6" fmla="*/ 1277743 w 1291682"/>
              <a:gd name="connsiteY6" fmla="*/ 246256 h 1050073"/>
              <a:gd name="connsiteX7" fmla="*/ 1259158 w 1291682"/>
              <a:gd name="connsiteY7" fmla="*/ 315951 h 1050073"/>
              <a:gd name="connsiteX8" fmla="*/ 1249865 w 1291682"/>
              <a:gd name="connsiteY8" fmla="*/ 381000 h 1050073"/>
              <a:gd name="connsiteX9" fmla="*/ 1291682 w 1291682"/>
              <a:gd name="connsiteY9" fmla="*/ 408878 h 1050073"/>
              <a:gd name="connsiteX10" fmla="*/ 1277743 w 1291682"/>
              <a:gd name="connsiteY10" fmla="*/ 464634 h 1050073"/>
              <a:gd name="connsiteX11" fmla="*/ 1189463 w 1291682"/>
              <a:gd name="connsiteY11" fmla="*/ 487866 h 1050073"/>
              <a:gd name="connsiteX12" fmla="*/ 1184817 w 1291682"/>
              <a:gd name="connsiteY12" fmla="*/ 566853 h 1050073"/>
              <a:gd name="connsiteX13" fmla="*/ 1147646 w 1291682"/>
              <a:gd name="connsiteY13" fmla="*/ 608670 h 1050073"/>
              <a:gd name="connsiteX14" fmla="*/ 1105829 w 1291682"/>
              <a:gd name="connsiteY14" fmla="*/ 627256 h 1050073"/>
              <a:gd name="connsiteX15" fmla="*/ 1045426 w 1291682"/>
              <a:gd name="connsiteY15" fmla="*/ 594731 h 1050073"/>
              <a:gd name="connsiteX16" fmla="*/ 994317 w 1291682"/>
              <a:gd name="connsiteY16" fmla="*/ 571500 h 1050073"/>
              <a:gd name="connsiteX17" fmla="*/ 980378 w 1291682"/>
              <a:gd name="connsiteY17" fmla="*/ 525036 h 1050073"/>
              <a:gd name="connsiteX18" fmla="*/ 901390 w 1291682"/>
              <a:gd name="connsiteY18" fmla="*/ 608670 h 1050073"/>
              <a:gd name="connsiteX19" fmla="*/ 845634 w 1291682"/>
              <a:gd name="connsiteY19" fmla="*/ 678366 h 1050073"/>
              <a:gd name="connsiteX20" fmla="*/ 803817 w 1291682"/>
              <a:gd name="connsiteY20" fmla="*/ 692305 h 1050073"/>
              <a:gd name="connsiteX21" fmla="*/ 845634 w 1291682"/>
              <a:gd name="connsiteY21" fmla="*/ 752707 h 1050073"/>
              <a:gd name="connsiteX22" fmla="*/ 827048 w 1291682"/>
              <a:gd name="connsiteY22" fmla="*/ 840987 h 1050073"/>
              <a:gd name="connsiteX23" fmla="*/ 771292 w 1291682"/>
              <a:gd name="connsiteY23" fmla="*/ 864219 h 1050073"/>
              <a:gd name="connsiteX24" fmla="*/ 827048 w 1291682"/>
              <a:gd name="connsiteY24" fmla="*/ 929268 h 1050073"/>
              <a:gd name="connsiteX25" fmla="*/ 762000 w 1291682"/>
              <a:gd name="connsiteY25" fmla="*/ 938561 h 1050073"/>
              <a:gd name="connsiteX26" fmla="*/ 771292 w 1291682"/>
              <a:gd name="connsiteY26" fmla="*/ 985024 h 1050073"/>
              <a:gd name="connsiteX27" fmla="*/ 729475 w 1291682"/>
              <a:gd name="connsiteY27" fmla="*/ 994317 h 1050073"/>
              <a:gd name="connsiteX28" fmla="*/ 724829 w 1291682"/>
              <a:gd name="connsiteY28" fmla="*/ 1045426 h 1050073"/>
              <a:gd name="connsiteX29" fmla="*/ 673719 w 1291682"/>
              <a:gd name="connsiteY29" fmla="*/ 1050073 h 1050073"/>
              <a:gd name="connsiteX30" fmla="*/ 650487 w 1291682"/>
              <a:gd name="connsiteY30" fmla="*/ 1012902 h 1050073"/>
              <a:gd name="connsiteX31" fmla="*/ 580792 w 1291682"/>
              <a:gd name="connsiteY31" fmla="*/ 1050073 h 1050073"/>
              <a:gd name="connsiteX32" fmla="*/ 525036 w 1291682"/>
              <a:gd name="connsiteY32" fmla="*/ 1045426 h 1050073"/>
              <a:gd name="connsiteX33" fmla="*/ 427463 w 1291682"/>
              <a:gd name="connsiteY33" fmla="*/ 961792 h 1050073"/>
              <a:gd name="connsiteX34" fmla="*/ 418170 w 1291682"/>
              <a:gd name="connsiteY34" fmla="*/ 966439 h 1050073"/>
              <a:gd name="connsiteX35" fmla="*/ 283426 w 1291682"/>
              <a:gd name="connsiteY35" fmla="*/ 799170 h 1050073"/>
              <a:gd name="connsiteX36" fmla="*/ 250902 w 1291682"/>
              <a:gd name="connsiteY36" fmla="*/ 766646 h 1050073"/>
              <a:gd name="connsiteX37" fmla="*/ 209085 w 1291682"/>
              <a:gd name="connsiteY37" fmla="*/ 748061 h 1050073"/>
              <a:gd name="connsiteX38" fmla="*/ 185853 w 1291682"/>
              <a:gd name="connsiteY38" fmla="*/ 710890 h 1050073"/>
              <a:gd name="connsiteX39" fmla="*/ 144036 w 1291682"/>
              <a:gd name="connsiteY39" fmla="*/ 659780 h 1050073"/>
              <a:gd name="connsiteX40" fmla="*/ 78987 w 1291682"/>
              <a:gd name="connsiteY40" fmla="*/ 576146 h 1050073"/>
              <a:gd name="connsiteX41" fmla="*/ 46463 w 1291682"/>
              <a:gd name="connsiteY41" fmla="*/ 520390 h 1050073"/>
              <a:gd name="connsiteX42" fmla="*/ 27878 w 1291682"/>
              <a:gd name="connsiteY42" fmla="*/ 478573 h 1050073"/>
              <a:gd name="connsiteX43" fmla="*/ 37170 w 1291682"/>
              <a:gd name="connsiteY43" fmla="*/ 446048 h 1050073"/>
              <a:gd name="connsiteX44" fmla="*/ 0 w 1291682"/>
              <a:gd name="connsiteY44" fmla="*/ 394939 h 1050073"/>
              <a:gd name="connsiteX45" fmla="*/ 13939 w 1291682"/>
              <a:gd name="connsiteY45" fmla="*/ 362414 h 1050073"/>
              <a:gd name="connsiteX46" fmla="*/ 51109 w 1291682"/>
              <a:gd name="connsiteY46" fmla="*/ 422817 h 1050073"/>
              <a:gd name="connsiteX47" fmla="*/ 97573 w 1291682"/>
              <a:gd name="connsiteY47" fmla="*/ 427463 h 1050073"/>
              <a:gd name="connsiteX48" fmla="*/ 106865 w 1291682"/>
              <a:gd name="connsiteY48" fmla="*/ 381000 h 1050073"/>
              <a:gd name="connsiteX49" fmla="*/ 78987 w 1291682"/>
              <a:gd name="connsiteY49" fmla="*/ 353122 h 1050073"/>
              <a:gd name="connsiteX50" fmla="*/ 116158 w 1291682"/>
              <a:gd name="connsiteY50" fmla="*/ 348475 h 1050073"/>
              <a:gd name="connsiteX51" fmla="*/ 125451 w 1291682"/>
              <a:gd name="connsiteY51" fmla="*/ 394939 h 1050073"/>
              <a:gd name="connsiteX52" fmla="*/ 171914 w 1291682"/>
              <a:gd name="connsiteY52" fmla="*/ 413524 h 1050073"/>
              <a:gd name="connsiteX53" fmla="*/ 195146 w 1291682"/>
              <a:gd name="connsiteY53" fmla="*/ 399585 h 1050073"/>
              <a:gd name="connsiteX54" fmla="*/ 195146 w 1291682"/>
              <a:gd name="connsiteY54" fmla="*/ 353122 h 1050073"/>
              <a:gd name="connsiteX55" fmla="*/ 176560 w 1291682"/>
              <a:gd name="connsiteY55" fmla="*/ 302012 h 1050073"/>
              <a:gd name="connsiteX56" fmla="*/ 195146 w 1291682"/>
              <a:gd name="connsiteY56" fmla="*/ 297366 h 1050073"/>
              <a:gd name="connsiteX57" fmla="*/ 274134 w 1291682"/>
              <a:gd name="connsiteY57" fmla="*/ 376353 h 1050073"/>
              <a:gd name="connsiteX58" fmla="*/ 311304 w 1291682"/>
              <a:gd name="connsiteY58" fmla="*/ 408878 h 1050073"/>
              <a:gd name="connsiteX59" fmla="*/ 362414 w 1291682"/>
              <a:gd name="connsiteY59" fmla="*/ 394939 h 1050073"/>
              <a:gd name="connsiteX60" fmla="*/ 446048 w 1291682"/>
              <a:gd name="connsiteY60" fmla="*/ 432109 h 1050073"/>
              <a:gd name="connsiteX61" fmla="*/ 413524 w 1291682"/>
              <a:gd name="connsiteY61" fmla="*/ 469280 h 1050073"/>
              <a:gd name="connsiteX62" fmla="*/ 394939 w 1291682"/>
              <a:gd name="connsiteY62" fmla="*/ 487866 h 1050073"/>
              <a:gd name="connsiteX63" fmla="*/ 399585 w 1291682"/>
              <a:gd name="connsiteY63" fmla="*/ 511097 h 1050073"/>
              <a:gd name="connsiteX64" fmla="*/ 464634 w 1291682"/>
              <a:gd name="connsiteY64" fmla="*/ 543622 h 1050073"/>
              <a:gd name="connsiteX65" fmla="*/ 506451 w 1291682"/>
              <a:gd name="connsiteY65" fmla="*/ 511097 h 1050073"/>
              <a:gd name="connsiteX66" fmla="*/ 548268 w 1291682"/>
              <a:gd name="connsiteY66" fmla="*/ 548268 h 1050073"/>
              <a:gd name="connsiteX67" fmla="*/ 538975 w 1291682"/>
              <a:gd name="connsiteY67" fmla="*/ 585439 h 1050073"/>
              <a:gd name="connsiteX68" fmla="*/ 552914 w 1291682"/>
              <a:gd name="connsiteY68" fmla="*/ 622609 h 1050073"/>
              <a:gd name="connsiteX69" fmla="*/ 585439 w 1291682"/>
              <a:gd name="connsiteY69" fmla="*/ 594731 h 1050073"/>
              <a:gd name="connsiteX70" fmla="*/ 571500 w 1291682"/>
              <a:gd name="connsiteY70" fmla="*/ 538975 h 1050073"/>
              <a:gd name="connsiteX71" fmla="*/ 562207 w 1291682"/>
              <a:gd name="connsiteY71" fmla="*/ 497158 h 1050073"/>
              <a:gd name="connsiteX72" fmla="*/ 515743 w 1291682"/>
              <a:gd name="connsiteY72" fmla="*/ 469280 h 1050073"/>
              <a:gd name="connsiteX73" fmla="*/ 483219 w 1291682"/>
              <a:gd name="connsiteY73" fmla="*/ 441402 h 1050073"/>
              <a:gd name="connsiteX74" fmla="*/ 455341 w 1291682"/>
              <a:gd name="connsiteY74" fmla="*/ 394939 h 1050073"/>
              <a:gd name="connsiteX75" fmla="*/ 459987 w 1291682"/>
              <a:gd name="connsiteY75" fmla="*/ 371707 h 1050073"/>
              <a:gd name="connsiteX76" fmla="*/ 427463 w 1291682"/>
              <a:gd name="connsiteY76" fmla="*/ 367061 h 1050073"/>
              <a:gd name="connsiteX77" fmla="*/ 394939 w 1291682"/>
              <a:gd name="connsiteY77" fmla="*/ 367061 h 1050073"/>
              <a:gd name="connsiteX78" fmla="*/ 376353 w 1291682"/>
              <a:gd name="connsiteY78" fmla="*/ 348475 h 1050073"/>
              <a:gd name="connsiteX79" fmla="*/ 334536 w 1291682"/>
              <a:gd name="connsiteY79" fmla="*/ 306658 h 1050073"/>
              <a:gd name="connsiteX80" fmla="*/ 292719 w 1291682"/>
              <a:gd name="connsiteY80" fmla="*/ 288073 h 1050073"/>
              <a:gd name="connsiteX81" fmla="*/ 232317 w 1291682"/>
              <a:gd name="connsiteY81" fmla="*/ 250902 h 1050073"/>
              <a:gd name="connsiteX82" fmla="*/ 181207 w 1291682"/>
              <a:gd name="connsiteY82" fmla="*/ 209085 h 1050073"/>
              <a:gd name="connsiteX83" fmla="*/ 157975 w 1291682"/>
              <a:gd name="connsiteY83" fmla="*/ 195146 h 1050073"/>
              <a:gd name="connsiteX84" fmla="*/ 157975 w 1291682"/>
              <a:gd name="connsiteY84" fmla="*/ 195146 h 1050073"/>
              <a:gd name="connsiteX85" fmla="*/ 236963 w 1291682"/>
              <a:gd name="connsiteY85" fmla="*/ 148683 h 1050073"/>
              <a:gd name="connsiteX86" fmla="*/ 339182 w 1291682"/>
              <a:gd name="connsiteY86" fmla="*/ 209085 h 1050073"/>
              <a:gd name="connsiteX87" fmla="*/ 450695 w 1291682"/>
              <a:gd name="connsiteY87" fmla="*/ 223024 h 1050073"/>
              <a:gd name="connsiteX88" fmla="*/ 478573 w 1291682"/>
              <a:gd name="connsiteY88" fmla="*/ 278780 h 1050073"/>
              <a:gd name="connsiteX89" fmla="*/ 525036 w 1291682"/>
              <a:gd name="connsiteY89" fmla="*/ 343829 h 1050073"/>
              <a:gd name="connsiteX90" fmla="*/ 604024 w 1291682"/>
              <a:gd name="connsiteY90" fmla="*/ 343829 h 1050073"/>
              <a:gd name="connsiteX91" fmla="*/ 655134 w 1291682"/>
              <a:gd name="connsiteY91" fmla="*/ 381000 h 1050073"/>
              <a:gd name="connsiteX92" fmla="*/ 771292 w 1291682"/>
              <a:gd name="connsiteY92" fmla="*/ 371707 h 1050073"/>
              <a:gd name="connsiteX93" fmla="*/ 803817 w 1291682"/>
              <a:gd name="connsiteY93" fmla="*/ 353122 h 1050073"/>
              <a:gd name="connsiteX94" fmla="*/ 827048 w 1291682"/>
              <a:gd name="connsiteY94" fmla="*/ 292719 h 1050073"/>
              <a:gd name="connsiteX95" fmla="*/ 827048 w 1291682"/>
              <a:gd name="connsiteY95" fmla="*/ 241609 h 1050073"/>
              <a:gd name="connsiteX96" fmla="*/ 762000 w 1291682"/>
              <a:gd name="connsiteY96" fmla="*/ 213731 h 1050073"/>
              <a:gd name="connsiteX97" fmla="*/ 780585 w 1291682"/>
              <a:gd name="connsiteY97" fmla="*/ 190500 h 1050073"/>
              <a:gd name="connsiteX98" fmla="*/ 757353 w 1291682"/>
              <a:gd name="connsiteY98" fmla="*/ 139390 h 1050073"/>
              <a:gd name="connsiteX99" fmla="*/ 878158 w 1291682"/>
              <a:gd name="connsiteY99" fmla="*/ 37170 h 1050073"/>
              <a:gd name="connsiteX100" fmla="*/ 989670 w 1291682"/>
              <a:gd name="connsiteY100" fmla="*/ 0 h 1050073"/>
              <a:gd name="connsiteX101" fmla="*/ 1045426 w 1291682"/>
              <a:gd name="connsiteY101" fmla="*/ 41817 h 1050073"/>
              <a:gd name="connsiteX102" fmla="*/ 1087243 w 1291682"/>
              <a:gd name="connsiteY102" fmla="*/ 106866 h 1050073"/>
              <a:gd name="connsiteX103" fmla="*/ 1101182 w 1291682"/>
              <a:gd name="connsiteY103" fmla="*/ 74341 h 1050073"/>
              <a:gd name="connsiteX104" fmla="*/ 1194109 w 1291682"/>
              <a:gd name="connsiteY104" fmla="*/ 74341 h 105007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</a:cxnLst>
            <a:rect l="l" t="t" r="r" b="b"/>
            <a:pathLst>
              <a:path w="1291682" h="1050073">
                <a:moveTo>
                  <a:pt x="1194109" y="74341"/>
                </a:moveTo>
                <a:lnTo>
                  <a:pt x="1194109" y="130097"/>
                </a:lnTo>
                <a:lnTo>
                  <a:pt x="1240573" y="153329"/>
                </a:lnTo>
                <a:lnTo>
                  <a:pt x="1198756" y="176561"/>
                </a:lnTo>
                <a:lnTo>
                  <a:pt x="1203402" y="199792"/>
                </a:lnTo>
                <a:lnTo>
                  <a:pt x="1231280" y="199792"/>
                </a:lnTo>
                <a:lnTo>
                  <a:pt x="1277743" y="246256"/>
                </a:lnTo>
                <a:lnTo>
                  <a:pt x="1259158" y="315951"/>
                </a:lnTo>
                <a:lnTo>
                  <a:pt x="1249865" y="381000"/>
                </a:lnTo>
                <a:lnTo>
                  <a:pt x="1291682" y="408878"/>
                </a:lnTo>
                <a:lnTo>
                  <a:pt x="1277743" y="464634"/>
                </a:lnTo>
                <a:lnTo>
                  <a:pt x="1189463" y="487866"/>
                </a:lnTo>
                <a:lnTo>
                  <a:pt x="1184817" y="566853"/>
                </a:lnTo>
                <a:lnTo>
                  <a:pt x="1147646" y="608670"/>
                </a:lnTo>
                <a:lnTo>
                  <a:pt x="1105829" y="627256"/>
                </a:lnTo>
                <a:lnTo>
                  <a:pt x="1045426" y="594731"/>
                </a:lnTo>
                <a:lnTo>
                  <a:pt x="994317" y="571500"/>
                </a:lnTo>
                <a:lnTo>
                  <a:pt x="980378" y="525036"/>
                </a:lnTo>
                <a:lnTo>
                  <a:pt x="901390" y="608670"/>
                </a:lnTo>
                <a:lnTo>
                  <a:pt x="845634" y="678366"/>
                </a:lnTo>
                <a:lnTo>
                  <a:pt x="803817" y="692305"/>
                </a:lnTo>
                <a:lnTo>
                  <a:pt x="845634" y="752707"/>
                </a:lnTo>
                <a:lnTo>
                  <a:pt x="827048" y="840987"/>
                </a:lnTo>
                <a:lnTo>
                  <a:pt x="771292" y="864219"/>
                </a:lnTo>
                <a:lnTo>
                  <a:pt x="827048" y="929268"/>
                </a:lnTo>
                <a:lnTo>
                  <a:pt x="762000" y="938561"/>
                </a:lnTo>
                <a:lnTo>
                  <a:pt x="771292" y="985024"/>
                </a:lnTo>
                <a:lnTo>
                  <a:pt x="729475" y="994317"/>
                </a:lnTo>
                <a:lnTo>
                  <a:pt x="724829" y="1045426"/>
                </a:lnTo>
                <a:lnTo>
                  <a:pt x="673719" y="1050073"/>
                </a:lnTo>
                <a:lnTo>
                  <a:pt x="650487" y="1012902"/>
                </a:lnTo>
                <a:lnTo>
                  <a:pt x="580792" y="1050073"/>
                </a:lnTo>
                <a:lnTo>
                  <a:pt x="525036" y="1045426"/>
                </a:lnTo>
                <a:lnTo>
                  <a:pt x="427463" y="961792"/>
                </a:lnTo>
                <a:lnTo>
                  <a:pt x="418170" y="966439"/>
                </a:lnTo>
                <a:lnTo>
                  <a:pt x="283426" y="799170"/>
                </a:lnTo>
                <a:lnTo>
                  <a:pt x="250902" y="766646"/>
                </a:lnTo>
                <a:lnTo>
                  <a:pt x="209085" y="748061"/>
                </a:lnTo>
                <a:lnTo>
                  <a:pt x="185853" y="710890"/>
                </a:lnTo>
                <a:lnTo>
                  <a:pt x="144036" y="659780"/>
                </a:lnTo>
                <a:lnTo>
                  <a:pt x="78987" y="576146"/>
                </a:lnTo>
                <a:lnTo>
                  <a:pt x="46463" y="520390"/>
                </a:lnTo>
                <a:lnTo>
                  <a:pt x="27878" y="478573"/>
                </a:lnTo>
                <a:lnTo>
                  <a:pt x="37170" y="446048"/>
                </a:lnTo>
                <a:lnTo>
                  <a:pt x="0" y="394939"/>
                </a:lnTo>
                <a:lnTo>
                  <a:pt x="13939" y="362414"/>
                </a:lnTo>
                <a:lnTo>
                  <a:pt x="51109" y="422817"/>
                </a:lnTo>
                <a:lnTo>
                  <a:pt x="97573" y="427463"/>
                </a:lnTo>
                <a:lnTo>
                  <a:pt x="106865" y="381000"/>
                </a:lnTo>
                <a:lnTo>
                  <a:pt x="78987" y="353122"/>
                </a:lnTo>
                <a:lnTo>
                  <a:pt x="116158" y="348475"/>
                </a:lnTo>
                <a:lnTo>
                  <a:pt x="125451" y="394939"/>
                </a:lnTo>
                <a:lnTo>
                  <a:pt x="171914" y="413524"/>
                </a:lnTo>
                <a:lnTo>
                  <a:pt x="195146" y="399585"/>
                </a:lnTo>
                <a:lnTo>
                  <a:pt x="195146" y="353122"/>
                </a:lnTo>
                <a:lnTo>
                  <a:pt x="176560" y="302012"/>
                </a:lnTo>
                <a:lnTo>
                  <a:pt x="195146" y="297366"/>
                </a:lnTo>
                <a:lnTo>
                  <a:pt x="274134" y="376353"/>
                </a:lnTo>
                <a:lnTo>
                  <a:pt x="311304" y="408878"/>
                </a:lnTo>
                <a:lnTo>
                  <a:pt x="362414" y="394939"/>
                </a:lnTo>
                <a:lnTo>
                  <a:pt x="446048" y="432109"/>
                </a:lnTo>
                <a:lnTo>
                  <a:pt x="413524" y="469280"/>
                </a:lnTo>
                <a:lnTo>
                  <a:pt x="394939" y="487866"/>
                </a:lnTo>
                <a:lnTo>
                  <a:pt x="399585" y="511097"/>
                </a:lnTo>
                <a:lnTo>
                  <a:pt x="464634" y="543622"/>
                </a:lnTo>
                <a:lnTo>
                  <a:pt x="506451" y="511097"/>
                </a:lnTo>
                <a:lnTo>
                  <a:pt x="548268" y="548268"/>
                </a:lnTo>
                <a:lnTo>
                  <a:pt x="538975" y="585439"/>
                </a:lnTo>
                <a:lnTo>
                  <a:pt x="552914" y="622609"/>
                </a:lnTo>
                <a:lnTo>
                  <a:pt x="585439" y="594731"/>
                </a:lnTo>
                <a:lnTo>
                  <a:pt x="571500" y="538975"/>
                </a:lnTo>
                <a:lnTo>
                  <a:pt x="562207" y="497158"/>
                </a:lnTo>
                <a:lnTo>
                  <a:pt x="515743" y="469280"/>
                </a:lnTo>
                <a:lnTo>
                  <a:pt x="483219" y="441402"/>
                </a:lnTo>
                <a:lnTo>
                  <a:pt x="455341" y="394939"/>
                </a:lnTo>
                <a:lnTo>
                  <a:pt x="459987" y="371707"/>
                </a:lnTo>
                <a:lnTo>
                  <a:pt x="427463" y="367061"/>
                </a:lnTo>
                <a:lnTo>
                  <a:pt x="394939" y="367061"/>
                </a:lnTo>
                <a:lnTo>
                  <a:pt x="376353" y="348475"/>
                </a:lnTo>
                <a:lnTo>
                  <a:pt x="334536" y="306658"/>
                </a:lnTo>
                <a:lnTo>
                  <a:pt x="292719" y="288073"/>
                </a:lnTo>
                <a:lnTo>
                  <a:pt x="232317" y="250902"/>
                </a:lnTo>
                <a:lnTo>
                  <a:pt x="181207" y="209085"/>
                </a:lnTo>
                <a:lnTo>
                  <a:pt x="157975" y="195146"/>
                </a:lnTo>
                <a:lnTo>
                  <a:pt x="157975" y="195146"/>
                </a:lnTo>
                <a:lnTo>
                  <a:pt x="236963" y="148683"/>
                </a:lnTo>
                <a:lnTo>
                  <a:pt x="339182" y="209085"/>
                </a:lnTo>
                <a:lnTo>
                  <a:pt x="450695" y="223024"/>
                </a:lnTo>
                <a:lnTo>
                  <a:pt x="478573" y="278780"/>
                </a:lnTo>
                <a:lnTo>
                  <a:pt x="525036" y="343829"/>
                </a:lnTo>
                <a:lnTo>
                  <a:pt x="604024" y="343829"/>
                </a:lnTo>
                <a:lnTo>
                  <a:pt x="655134" y="381000"/>
                </a:lnTo>
                <a:lnTo>
                  <a:pt x="771292" y="371707"/>
                </a:lnTo>
                <a:lnTo>
                  <a:pt x="803817" y="353122"/>
                </a:lnTo>
                <a:lnTo>
                  <a:pt x="827048" y="292719"/>
                </a:lnTo>
                <a:lnTo>
                  <a:pt x="827048" y="241609"/>
                </a:lnTo>
                <a:lnTo>
                  <a:pt x="762000" y="213731"/>
                </a:lnTo>
                <a:lnTo>
                  <a:pt x="780585" y="190500"/>
                </a:lnTo>
                <a:lnTo>
                  <a:pt x="757353" y="139390"/>
                </a:lnTo>
                <a:lnTo>
                  <a:pt x="878158" y="37170"/>
                </a:lnTo>
                <a:lnTo>
                  <a:pt x="989670" y="0"/>
                </a:lnTo>
                <a:lnTo>
                  <a:pt x="1045426" y="41817"/>
                </a:lnTo>
                <a:lnTo>
                  <a:pt x="1087243" y="106866"/>
                </a:lnTo>
                <a:lnTo>
                  <a:pt x="1101182" y="74341"/>
                </a:lnTo>
                <a:lnTo>
                  <a:pt x="1194109" y="74341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0" name="Freeform 39"/>
          <xdr:cNvSpPr/>
        </xdr:nvSpPr>
        <xdr:spPr>
          <a:xfrm>
            <a:off x="2140751" y="3744951"/>
            <a:ext cx="417767" cy="362415"/>
          </a:xfrm>
          <a:custGeom>
            <a:avLst/>
            <a:gdLst>
              <a:gd name="connsiteX0" fmla="*/ 0 w 413525"/>
              <a:gd name="connsiteY0" fmla="*/ 0 h 362415"/>
              <a:gd name="connsiteX1" fmla="*/ 9293 w 413525"/>
              <a:gd name="connsiteY1" fmla="*/ 51110 h 362415"/>
              <a:gd name="connsiteX2" fmla="*/ 4647 w 413525"/>
              <a:gd name="connsiteY2" fmla="*/ 92927 h 362415"/>
              <a:gd name="connsiteX3" fmla="*/ 60403 w 413525"/>
              <a:gd name="connsiteY3" fmla="*/ 130098 h 362415"/>
              <a:gd name="connsiteX4" fmla="*/ 88281 w 413525"/>
              <a:gd name="connsiteY4" fmla="*/ 125451 h 362415"/>
              <a:gd name="connsiteX5" fmla="*/ 153330 w 413525"/>
              <a:gd name="connsiteY5" fmla="*/ 213732 h 362415"/>
              <a:gd name="connsiteX6" fmla="*/ 167269 w 413525"/>
              <a:gd name="connsiteY6" fmla="*/ 250903 h 362415"/>
              <a:gd name="connsiteX7" fmla="*/ 185854 w 413525"/>
              <a:gd name="connsiteY7" fmla="*/ 213732 h 362415"/>
              <a:gd name="connsiteX8" fmla="*/ 232317 w 413525"/>
              <a:gd name="connsiteY8" fmla="*/ 255549 h 362415"/>
              <a:gd name="connsiteX9" fmla="*/ 218378 w 413525"/>
              <a:gd name="connsiteY9" fmla="*/ 302012 h 362415"/>
              <a:gd name="connsiteX10" fmla="*/ 223025 w 413525"/>
              <a:gd name="connsiteY10" fmla="*/ 353122 h 362415"/>
              <a:gd name="connsiteX11" fmla="*/ 250903 w 413525"/>
              <a:gd name="connsiteY11" fmla="*/ 357769 h 362415"/>
              <a:gd name="connsiteX12" fmla="*/ 288074 w 413525"/>
              <a:gd name="connsiteY12" fmla="*/ 334537 h 362415"/>
              <a:gd name="connsiteX13" fmla="*/ 325244 w 413525"/>
              <a:gd name="connsiteY13" fmla="*/ 362415 h 362415"/>
              <a:gd name="connsiteX14" fmla="*/ 343830 w 413525"/>
              <a:gd name="connsiteY14" fmla="*/ 357769 h 362415"/>
              <a:gd name="connsiteX15" fmla="*/ 353122 w 413525"/>
              <a:gd name="connsiteY15" fmla="*/ 311305 h 362415"/>
              <a:gd name="connsiteX16" fmla="*/ 399586 w 413525"/>
              <a:gd name="connsiteY16" fmla="*/ 334537 h 362415"/>
              <a:gd name="connsiteX17" fmla="*/ 413525 w 413525"/>
              <a:gd name="connsiteY17" fmla="*/ 348476 h 362415"/>
              <a:gd name="connsiteX18" fmla="*/ 381000 w 413525"/>
              <a:gd name="connsiteY18" fmla="*/ 288073 h 362415"/>
              <a:gd name="connsiteX19" fmla="*/ 311305 w 413525"/>
              <a:gd name="connsiteY19" fmla="*/ 241610 h 362415"/>
              <a:gd name="connsiteX20" fmla="*/ 236964 w 413525"/>
              <a:gd name="connsiteY20" fmla="*/ 167269 h 362415"/>
              <a:gd name="connsiteX21" fmla="*/ 167269 w 413525"/>
              <a:gd name="connsiteY21" fmla="*/ 102220 h 362415"/>
              <a:gd name="connsiteX22" fmla="*/ 171915 w 413525"/>
              <a:gd name="connsiteY22" fmla="*/ 144037 h 362415"/>
              <a:gd name="connsiteX23" fmla="*/ 157976 w 413525"/>
              <a:gd name="connsiteY23" fmla="*/ 153329 h 362415"/>
              <a:gd name="connsiteX24" fmla="*/ 55756 w 413525"/>
              <a:gd name="connsiteY24" fmla="*/ 37171 h 362415"/>
              <a:gd name="connsiteX25" fmla="*/ 0 w 413525"/>
              <a:gd name="connsiteY25" fmla="*/ 0 h 3624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13525" h="362415">
                <a:moveTo>
                  <a:pt x="0" y="0"/>
                </a:moveTo>
                <a:lnTo>
                  <a:pt x="9293" y="51110"/>
                </a:lnTo>
                <a:lnTo>
                  <a:pt x="4647" y="92927"/>
                </a:lnTo>
                <a:lnTo>
                  <a:pt x="60403" y="130098"/>
                </a:lnTo>
                <a:lnTo>
                  <a:pt x="88281" y="125451"/>
                </a:lnTo>
                <a:lnTo>
                  <a:pt x="153330" y="213732"/>
                </a:lnTo>
                <a:lnTo>
                  <a:pt x="167269" y="250903"/>
                </a:lnTo>
                <a:lnTo>
                  <a:pt x="185854" y="213732"/>
                </a:lnTo>
                <a:lnTo>
                  <a:pt x="232317" y="255549"/>
                </a:lnTo>
                <a:lnTo>
                  <a:pt x="218378" y="302012"/>
                </a:lnTo>
                <a:lnTo>
                  <a:pt x="223025" y="353122"/>
                </a:lnTo>
                <a:lnTo>
                  <a:pt x="250903" y="357769"/>
                </a:lnTo>
                <a:lnTo>
                  <a:pt x="288074" y="334537"/>
                </a:lnTo>
                <a:lnTo>
                  <a:pt x="325244" y="362415"/>
                </a:lnTo>
                <a:lnTo>
                  <a:pt x="343830" y="357769"/>
                </a:lnTo>
                <a:lnTo>
                  <a:pt x="353122" y="311305"/>
                </a:lnTo>
                <a:lnTo>
                  <a:pt x="399586" y="334537"/>
                </a:lnTo>
                <a:lnTo>
                  <a:pt x="413525" y="348476"/>
                </a:lnTo>
                <a:lnTo>
                  <a:pt x="381000" y="288073"/>
                </a:lnTo>
                <a:lnTo>
                  <a:pt x="311305" y="241610"/>
                </a:lnTo>
                <a:lnTo>
                  <a:pt x="236964" y="167269"/>
                </a:lnTo>
                <a:lnTo>
                  <a:pt x="167269" y="102220"/>
                </a:lnTo>
                <a:lnTo>
                  <a:pt x="171915" y="144037"/>
                </a:lnTo>
                <a:lnTo>
                  <a:pt x="157976" y="153329"/>
                </a:lnTo>
                <a:lnTo>
                  <a:pt x="55756" y="37171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1" name="Freeform 40"/>
          <xdr:cNvSpPr/>
        </xdr:nvSpPr>
        <xdr:spPr>
          <a:xfrm>
            <a:off x="1848032" y="3944744"/>
            <a:ext cx="60402" cy="102219"/>
          </a:xfrm>
          <a:custGeom>
            <a:avLst/>
            <a:gdLst>
              <a:gd name="connsiteX0" fmla="*/ 18585 w 60402"/>
              <a:gd name="connsiteY0" fmla="*/ 0 h 102219"/>
              <a:gd name="connsiteX1" fmla="*/ 0 w 60402"/>
              <a:gd name="connsiteY1" fmla="*/ 46463 h 102219"/>
              <a:gd name="connsiteX2" fmla="*/ 23232 w 60402"/>
              <a:gd name="connsiteY2" fmla="*/ 60402 h 102219"/>
              <a:gd name="connsiteX3" fmla="*/ 37171 w 60402"/>
              <a:gd name="connsiteY3" fmla="*/ 74341 h 102219"/>
              <a:gd name="connsiteX4" fmla="*/ 60402 w 60402"/>
              <a:gd name="connsiteY4" fmla="*/ 102219 h 102219"/>
              <a:gd name="connsiteX5" fmla="*/ 51110 w 60402"/>
              <a:gd name="connsiteY5" fmla="*/ 46463 h 102219"/>
              <a:gd name="connsiteX6" fmla="*/ 18585 w 60402"/>
              <a:gd name="connsiteY6" fmla="*/ 0 h 1022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0402" h="102219">
                <a:moveTo>
                  <a:pt x="18585" y="0"/>
                </a:moveTo>
                <a:lnTo>
                  <a:pt x="0" y="46463"/>
                </a:lnTo>
                <a:lnTo>
                  <a:pt x="23232" y="60402"/>
                </a:lnTo>
                <a:lnTo>
                  <a:pt x="37171" y="74341"/>
                </a:lnTo>
                <a:lnTo>
                  <a:pt x="60402" y="102219"/>
                </a:lnTo>
                <a:lnTo>
                  <a:pt x="51110" y="46463"/>
                </a:lnTo>
                <a:lnTo>
                  <a:pt x="18585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2" name="Freeform 41"/>
          <xdr:cNvSpPr/>
        </xdr:nvSpPr>
        <xdr:spPr>
          <a:xfrm>
            <a:off x="1973483" y="3940098"/>
            <a:ext cx="65049" cy="125451"/>
          </a:xfrm>
          <a:custGeom>
            <a:avLst/>
            <a:gdLst>
              <a:gd name="connsiteX0" fmla="*/ 0 w 65049"/>
              <a:gd name="connsiteY0" fmla="*/ 0 h 125451"/>
              <a:gd name="connsiteX1" fmla="*/ 41817 w 65049"/>
              <a:gd name="connsiteY1" fmla="*/ 55756 h 125451"/>
              <a:gd name="connsiteX2" fmla="*/ 41817 w 65049"/>
              <a:gd name="connsiteY2" fmla="*/ 55756 h 125451"/>
              <a:gd name="connsiteX3" fmla="*/ 55756 w 65049"/>
              <a:gd name="connsiteY3" fmla="*/ 97573 h 125451"/>
              <a:gd name="connsiteX4" fmla="*/ 65049 w 65049"/>
              <a:gd name="connsiteY4" fmla="*/ 125451 h 125451"/>
              <a:gd name="connsiteX5" fmla="*/ 27878 w 65049"/>
              <a:gd name="connsiteY5" fmla="*/ 120804 h 125451"/>
              <a:gd name="connsiteX6" fmla="*/ 0 w 65049"/>
              <a:gd name="connsiteY6" fmla="*/ 88280 h 125451"/>
              <a:gd name="connsiteX7" fmla="*/ 13939 w 65049"/>
              <a:gd name="connsiteY7" fmla="*/ 65048 h 125451"/>
              <a:gd name="connsiteX8" fmla="*/ 0 w 65049"/>
              <a:gd name="connsiteY8" fmla="*/ 0 h 1254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65049" h="125451">
                <a:moveTo>
                  <a:pt x="0" y="0"/>
                </a:moveTo>
                <a:lnTo>
                  <a:pt x="41817" y="55756"/>
                </a:lnTo>
                <a:lnTo>
                  <a:pt x="41817" y="55756"/>
                </a:lnTo>
                <a:lnTo>
                  <a:pt x="55756" y="97573"/>
                </a:lnTo>
                <a:lnTo>
                  <a:pt x="65049" y="125451"/>
                </a:lnTo>
                <a:lnTo>
                  <a:pt x="27878" y="120804"/>
                </a:lnTo>
                <a:lnTo>
                  <a:pt x="0" y="88280"/>
                </a:lnTo>
                <a:lnTo>
                  <a:pt x="13939" y="65048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2289434" y="4084134"/>
            <a:ext cx="65049" cy="74342"/>
          </a:xfrm>
          <a:custGeom>
            <a:avLst/>
            <a:gdLst>
              <a:gd name="connsiteX0" fmla="*/ 0 w 65049"/>
              <a:gd name="connsiteY0" fmla="*/ 0 h 74342"/>
              <a:gd name="connsiteX1" fmla="*/ 13939 w 65049"/>
              <a:gd name="connsiteY1" fmla="*/ 74342 h 74342"/>
              <a:gd name="connsiteX2" fmla="*/ 55756 w 65049"/>
              <a:gd name="connsiteY2" fmla="*/ 74342 h 74342"/>
              <a:gd name="connsiteX3" fmla="*/ 65049 w 65049"/>
              <a:gd name="connsiteY3" fmla="*/ 51110 h 74342"/>
              <a:gd name="connsiteX4" fmla="*/ 0 w 65049"/>
              <a:gd name="connsiteY4" fmla="*/ 0 h 743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5049" h="74342">
                <a:moveTo>
                  <a:pt x="0" y="0"/>
                </a:moveTo>
                <a:lnTo>
                  <a:pt x="13939" y="74342"/>
                </a:lnTo>
                <a:lnTo>
                  <a:pt x="55756" y="74342"/>
                </a:lnTo>
                <a:lnTo>
                  <a:pt x="65049" y="51110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4" name="Freeform 43"/>
          <xdr:cNvSpPr/>
        </xdr:nvSpPr>
        <xdr:spPr>
          <a:xfrm>
            <a:off x="2112873" y="3875049"/>
            <a:ext cx="88281" cy="88280"/>
          </a:xfrm>
          <a:custGeom>
            <a:avLst/>
            <a:gdLst>
              <a:gd name="connsiteX0" fmla="*/ 0 w 88281"/>
              <a:gd name="connsiteY0" fmla="*/ 0 h 88280"/>
              <a:gd name="connsiteX1" fmla="*/ 18586 w 88281"/>
              <a:gd name="connsiteY1" fmla="*/ 37171 h 88280"/>
              <a:gd name="connsiteX2" fmla="*/ 88281 w 88281"/>
              <a:gd name="connsiteY2" fmla="*/ 88280 h 88280"/>
              <a:gd name="connsiteX3" fmla="*/ 0 w 88281"/>
              <a:gd name="connsiteY3" fmla="*/ 0 h 882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88281" h="88280">
                <a:moveTo>
                  <a:pt x="0" y="0"/>
                </a:moveTo>
                <a:lnTo>
                  <a:pt x="18586" y="37171"/>
                </a:lnTo>
                <a:lnTo>
                  <a:pt x="88281" y="88280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5" name="Freeform 44"/>
          <xdr:cNvSpPr/>
        </xdr:nvSpPr>
        <xdr:spPr>
          <a:xfrm>
            <a:off x="2010654" y="4209585"/>
            <a:ext cx="130097" cy="92927"/>
          </a:xfrm>
          <a:custGeom>
            <a:avLst/>
            <a:gdLst>
              <a:gd name="connsiteX0" fmla="*/ 130097 w 130097"/>
              <a:gd name="connsiteY0" fmla="*/ 46464 h 92927"/>
              <a:gd name="connsiteX1" fmla="*/ 106866 w 130097"/>
              <a:gd name="connsiteY1" fmla="*/ 92927 h 92927"/>
              <a:gd name="connsiteX2" fmla="*/ 0 w 130097"/>
              <a:gd name="connsiteY2" fmla="*/ 23232 h 92927"/>
              <a:gd name="connsiteX3" fmla="*/ 0 w 130097"/>
              <a:gd name="connsiteY3" fmla="*/ 0 h 92927"/>
              <a:gd name="connsiteX4" fmla="*/ 37171 w 130097"/>
              <a:gd name="connsiteY4" fmla="*/ 9293 h 92927"/>
              <a:gd name="connsiteX5" fmla="*/ 74341 w 130097"/>
              <a:gd name="connsiteY5" fmla="*/ 46464 h 92927"/>
              <a:gd name="connsiteX6" fmla="*/ 130097 w 130097"/>
              <a:gd name="connsiteY6" fmla="*/ 46464 h 929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0097" h="92927">
                <a:moveTo>
                  <a:pt x="130097" y="46464"/>
                </a:moveTo>
                <a:lnTo>
                  <a:pt x="106866" y="92927"/>
                </a:lnTo>
                <a:lnTo>
                  <a:pt x="0" y="23232"/>
                </a:lnTo>
                <a:lnTo>
                  <a:pt x="0" y="0"/>
                </a:lnTo>
                <a:lnTo>
                  <a:pt x="37171" y="9293"/>
                </a:lnTo>
                <a:lnTo>
                  <a:pt x="74341" y="46464"/>
                </a:lnTo>
                <a:lnTo>
                  <a:pt x="130097" y="46464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2038532" y="4376854"/>
            <a:ext cx="468876" cy="422817"/>
          </a:xfrm>
          <a:custGeom>
            <a:avLst/>
            <a:gdLst>
              <a:gd name="connsiteX0" fmla="*/ 0 w 464634"/>
              <a:gd name="connsiteY0" fmla="*/ 0 h 422817"/>
              <a:gd name="connsiteX1" fmla="*/ 69695 w 464634"/>
              <a:gd name="connsiteY1" fmla="*/ 23231 h 422817"/>
              <a:gd name="connsiteX2" fmla="*/ 213732 w 464634"/>
              <a:gd name="connsiteY2" fmla="*/ 171914 h 422817"/>
              <a:gd name="connsiteX3" fmla="*/ 236963 w 464634"/>
              <a:gd name="connsiteY3" fmla="*/ 232317 h 422817"/>
              <a:gd name="connsiteX4" fmla="*/ 362415 w 464634"/>
              <a:gd name="connsiteY4" fmla="*/ 390292 h 422817"/>
              <a:gd name="connsiteX5" fmla="*/ 390293 w 464634"/>
              <a:gd name="connsiteY5" fmla="*/ 371707 h 422817"/>
              <a:gd name="connsiteX6" fmla="*/ 446049 w 464634"/>
              <a:gd name="connsiteY6" fmla="*/ 422817 h 422817"/>
              <a:gd name="connsiteX7" fmla="*/ 464634 w 464634"/>
              <a:gd name="connsiteY7" fmla="*/ 404231 h 422817"/>
              <a:gd name="connsiteX8" fmla="*/ 408878 w 464634"/>
              <a:gd name="connsiteY8" fmla="*/ 348475 h 422817"/>
              <a:gd name="connsiteX9" fmla="*/ 315951 w 464634"/>
              <a:gd name="connsiteY9" fmla="*/ 255548 h 422817"/>
              <a:gd name="connsiteX10" fmla="*/ 264841 w 464634"/>
              <a:gd name="connsiteY10" fmla="*/ 232317 h 422817"/>
              <a:gd name="connsiteX11" fmla="*/ 236963 w 464634"/>
              <a:gd name="connsiteY11" fmla="*/ 153329 h 422817"/>
              <a:gd name="connsiteX12" fmla="*/ 171915 w 464634"/>
              <a:gd name="connsiteY12" fmla="*/ 102219 h 422817"/>
              <a:gd name="connsiteX13" fmla="*/ 78988 w 464634"/>
              <a:gd name="connsiteY13" fmla="*/ 4646 h 422817"/>
              <a:gd name="connsiteX14" fmla="*/ 0 w 464634"/>
              <a:gd name="connsiteY14" fmla="*/ 0 h 4228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464634" h="422817">
                <a:moveTo>
                  <a:pt x="0" y="0"/>
                </a:moveTo>
                <a:lnTo>
                  <a:pt x="69695" y="23231"/>
                </a:lnTo>
                <a:lnTo>
                  <a:pt x="213732" y="171914"/>
                </a:lnTo>
                <a:lnTo>
                  <a:pt x="236963" y="232317"/>
                </a:lnTo>
                <a:lnTo>
                  <a:pt x="362415" y="390292"/>
                </a:lnTo>
                <a:lnTo>
                  <a:pt x="390293" y="371707"/>
                </a:lnTo>
                <a:lnTo>
                  <a:pt x="446049" y="422817"/>
                </a:lnTo>
                <a:lnTo>
                  <a:pt x="464634" y="404231"/>
                </a:lnTo>
                <a:lnTo>
                  <a:pt x="408878" y="348475"/>
                </a:lnTo>
                <a:lnTo>
                  <a:pt x="315951" y="255548"/>
                </a:lnTo>
                <a:lnTo>
                  <a:pt x="264841" y="232317"/>
                </a:lnTo>
                <a:lnTo>
                  <a:pt x="236963" y="153329"/>
                </a:lnTo>
                <a:lnTo>
                  <a:pt x="171915" y="102219"/>
                </a:lnTo>
                <a:lnTo>
                  <a:pt x="78988" y="4646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2335898" y="4372207"/>
            <a:ext cx="217973" cy="209086"/>
          </a:xfrm>
          <a:custGeom>
            <a:avLst/>
            <a:gdLst>
              <a:gd name="connsiteX0" fmla="*/ 0 w 213731"/>
              <a:gd name="connsiteY0" fmla="*/ 0 h 209086"/>
              <a:gd name="connsiteX1" fmla="*/ 65049 w 213731"/>
              <a:gd name="connsiteY1" fmla="*/ 69695 h 209086"/>
              <a:gd name="connsiteX2" fmla="*/ 148683 w 213731"/>
              <a:gd name="connsiteY2" fmla="*/ 144037 h 209086"/>
              <a:gd name="connsiteX3" fmla="*/ 213731 w 213731"/>
              <a:gd name="connsiteY3" fmla="*/ 209086 h 209086"/>
              <a:gd name="connsiteX4" fmla="*/ 213731 w 213731"/>
              <a:gd name="connsiteY4" fmla="*/ 209086 h 209086"/>
              <a:gd name="connsiteX5" fmla="*/ 148683 w 213731"/>
              <a:gd name="connsiteY5" fmla="*/ 176561 h 209086"/>
              <a:gd name="connsiteX6" fmla="*/ 130097 w 213731"/>
              <a:gd name="connsiteY6" fmla="*/ 185854 h 209086"/>
              <a:gd name="connsiteX7" fmla="*/ 0 w 213731"/>
              <a:gd name="connsiteY7" fmla="*/ 0 h 20908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13731" h="209086">
                <a:moveTo>
                  <a:pt x="0" y="0"/>
                </a:moveTo>
                <a:lnTo>
                  <a:pt x="65049" y="69695"/>
                </a:lnTo>
                <a:lnTo>
                  <a:pt x="148683" y="144037"/>
                </a:lnTo>
                <a:lnTo>
                  <a:pt x="213731" y="209086"/>
                </a:lnTo>
                <a:lnTo>
                  <a:pt x="213731" y="209086"/>
                </a:lnTo>
                <a:lnTo>
                  <a:pt x="148683" y="176561"/>
                </a:lnTo>
                <a:lnTo>
                  <a:pt x="130097" y="185854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8" name="Freeform 47"/>
          <xdr:cNvSpPr/>
        </xdr:nvSpPr>
        <xdr:spPr>
          <a:xfrm>
            <a:off x="2558518" y="4599878"/>
            <a:ext cx="218378" cy="199793"/>
          </a:xfrm>
          <a:custGeom>
            <a:avLst/>
            <a:gdLst>
              <a:gd name="connsiteX0" fmla="*/ 0 w 218378"/>
              <a:gd name="connsiteY0" fmla="*/ 0 h 199793"/>
              <a:gd name="connsiteX1" fmla="*/ 23231 w 218378"/>
              <a:gd name="connsiteY1" fmla="*/ 55756 h 199793"/>
              <a:gd name="connsiteX2" fmla="*/ 88280 w 218378"/>
              <a:gd name="connsiteY2" fmla="*/ 116159 h 199793"/>
              <a:gd name="connsiteX3" fmla="*/ 116158 w 218378"/>
              <a:gd name="connsiteY3" fmla="*/ 167268 h 199793"/>
              <a:gd name="connsiteX4" fmla="*/ 148683 w 218378"/>
              <a:gd name="connsiteY4" fmla="*/ 181207 h 199793"/>
              <a:gd name="connsiteX5" fmla="*/ 185853 w 218378"/>
              <a:gd name="connsiteY5" fmla="*/ 199793 h 199793"/>
              <a:gd name="connsiteX6" fmla="*/ 218378 w 218378"/>
              <a:gd name="connsiteY6" fmla="*/ 181207 h 199793"/>
              <a:gd name="connsiteX7" fmla="*/ 157975 w 218378"/>
              <a:gd name="connsiteY7" fmla="*/ 134744 h 199793"/>
              <a:gd name="connsiteX8" fmla="*/ 134744 w 218378"/>
              <a:gd name="connsiteY8" fmla="*/ 92927 h 199793"/>
              <a:gd name="connsiteX9" fmla="*/ 102219 w 218378"/>
              <a:gd name="connsiteY9" fmla="*/ 60402 h 199793"/>
              <a:gd name="connsiteX10" fmla="*/ 55756 w 218378"/>
              <a:gd name="connsiteY10" fmla="*/ 37171 h 199793"/>
              <a:gd name="connsiteX11" fmla="*/ 0 w 218378"/>
              <a:gd name="connsiteY11" fmla="*/ 0 h 1997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18378" h="199793">
                <a:moveTo>
                  <a:pt x="0" y="0"/>
                </a:moveTo>
                <a:lnTo>
                  <a:pt x="23231" y="55756"/>
                </a:lnTo>
                <a:lnTo>
                  <a:pt x="88280" y="116159"/>
                </a:lnTo>
                <a:lnTo>
                  <a:pt x="116158" y="167268"/>
                </a:lnTo>
                <a:lnTo>
                  <a:pt x="148683" y="181207"/>
                </a:lnTo>
                <a:lnTo>
                  <a:pt x="185853" y="199793"/>
                </a:lnTo>
                <a:lnTo>
                  <a:pt x="218378" y="181207"/>
                </a:lnTo>
                <a:lnTo>
                  <a:pt x="157975" y="134744"/>
                </a:lnTo>
                <a:lnTo>
                  <a:pt x="134744" y="92927"/>
                </a:lnTo>
                <a:lnTo>
                  <a:pt x="102219" y="60402"/>
                </a:lnTo>
                <a:lnTo>
                  <a:pt x="55756" y="37171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49" name="Freeform 48"/>
          <xdr:cNvSpPr/>
        </xdr:nvSpPr>
        <xdr:spPr>
          <a:xfrm>
            <a:off x="2530640" y="4813610"/>
            <a:ext cx="134744" cy="176561"/>
          </a:xfrm>
          <a:custGeom>
            <a:avLst/>
            <a:gdLst>
              <a:gd name="connsiteX0" fmla="*/ 0 w 134744"/>
              <a:gd name="connsiteY0" fmla="*/ 0 h 176561"/>
              <a:gd name="connsiteX1" fmla="*/ 130097 w 134744"/>
              <a:gd name="connsiteY1" fmla="*/ 148683 h 176561"/>
              <a:gd name="connsiteX2" fmla="*/ 134744 w 134744"/>
              <a:gd name="connsiteY2" fmla="*/ 171914 h 176561"/>
              <a:gd name="connsiteX3" fmla="*/ 106866 w 134744"/>
              <a:gd name="connsiteY3" fmla="*/ 176561 h 176561"/>
              <a:gd name="connsiteX4" fmla="*/ 0 w 134744"/>
              <a:gd name="connsiteY4" fmla="*/ 0 h 1765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34744" h="176561">
                <a:moveTo>
                  <a:pt x="0" y="0"/>
                </a:moveTo>
                <a:lnTo>
                  <a:pt x="130097" y="148683"/>
                </a:lnTo>
                <a:lnTo>
                  <a:pt x="134744" y="171914"/>
                </a:lnTo>
                <a:lnTo>
                  <a:pt x="106866" y="176561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4</xdr:col>
      <xdr:colOff>461150</xdr:colOff>
      <xdr:row>18</xdr:row>
      <xdr:rowOff>44630</xdr:rowOff>
    </xdr:from>
    <xdr:to>
      <xdr:col>6</xdr:col>
      <xdr:colOff>4513</xdr:colOff>
      <xdr:row>22</xdr:row>
      <xdr:rowOff>73627</xdr:rowOff>
    </xdr:to>
    <xdr:grpSp>
      <xdr:nvGrpSpPr>
        <xdr:cNvPr id="21" name="Šibensko_kninska_županija"/>
        <xdr:cNvGrpSpPr/>
      </xdr:nvGrpSpPr>
      <xdr:grpSpPr>
        <a:xfrm>
          <a:off x="3728225" y="3730805"/>
          <a:ext cx="762563" cy="800522"/>
          <a:chOff x="2939518" y="4269988"/>
          <a:chExt cx="1128253" cy="1180171"/>
        </a:xfrm>
        <a:solidFill>
          <a:schemeClr val="bg1">
            <a:lumMod val="65000"/>
          </a:schemeClr>
        </a:solidFill>
      </xdr:grpSpPr>
      <xdr:sp macro="" textlink="">
        <xdr:nvSpPr>
          <xdr:cNvPr id="36" name="Freeform 35"/>
          <xdr:cNvSpPr/>
        </xdr:nvSpPr>
        <xdr:spPr>
          <a:xfrm>
            <a:off x="2939518" y="4269988"/>
            <a:ext cx="1128253" cy="1180171"/>
          </a:xfrm>
          <a:custGeom>
            <a:avLst/>
            <a:gdLst>
              <a:gd name="connsiteX0" fmla="*/ 743414 w 1119768"/>
              <a:gd name="connsiteY0" fmla="*/ 0 h 1180171"/>
              <a:gd name="connsiteX1" fmla="*/ 873512 w 1119768"/>
              <a:gd name="connsiteY1" fmla="*/ 139390 h 1180171"/>
              <a:gd name="connsiteX2" fmla="*/ 873512 w 1119768"/>
              <a:gd name="connsiteY2" fmla="*/ 181207 h 1180171"/>
              <a:gd name="connsiteX3" fmla="*/ 910683 w 1119768"/>
              <a:gd name="connsiteY3" fmla="*/ 185853 h 1180171"/>
              <a:gd name="connsiteX4" fmla="*/ 933914 w 1119768"/>
              <a:gd name="connsiteY4" fmla="*/ 209085 h 1180171"/>
              <a:gd name="connsiteX5" fmla="*/ 994317 w 1119768"/>
              <a:gd name="connsiteY5" fmla="*/ 213732 h 1180171"/>
              <a:gd name="connsiteX6" fmla="*/ 998963 w 1119768"/>
              <a:gd name="connsiteY6" fmla="*/ 232317 h 1180171"/>
              <a:gd name="connsiteX7" fmla="*/ 994317 w 1119768"/>
              <a:gd name="connsiteY7" fmla="*/ 311305 h 1180171"/>
              <a:gd name="connsiteX8" fmla="*/ 1087244 w 1119768"/>
              <a:gd name="connsiteY8" fmla="*/ 311305 h 1180171"/>
              <a:gd name="connsiteX9" fmla="*/ 1091890 w 1119768"/>
              <a:gd name="connsiteY9" fmla="*/ 348475 h 1180171"/>
              <a:gd name="connsiteX10" fmla="*/ 1119768 w 1119768"/>
              <a:gd name="connsiteY10" fmla="*/ 394939 h 1180171"/>
              <a:gd name="connsiteX11" fmla="*/ 1054719 w 1119768"/>
              <a:gd name="connsiteY11" fmla="*/ 418171 h 1180171"/>
              <a:gd name="connsiteX12" fmla="*/ 998963 w 1119768"/>
              <a:gd name="connsiteY12" fmla="*/ 432110 h 1180171"/>
              <a:gd name="connsiteX13" fmla="*/ 952500 w 1119768"/>
              <a:gd name="connsiteY13" fmla="*/ 492512 h 1180171"/>
              <a:gd name="connsiteX14" fmla="*/ 915329 w 1119768"/>
              <a:gd name="connsiteY14" fmla="*/ 492512 h 1180171"/>
              <a:gd name="connsiteX15" fmla="*/ 896744 w 1119768"/>
              <a:gd name="connsiteY15" fmla="*/ 529683 h 1180171"/>
              <a:gd name="connsiteX16" fmla="*/ 896744 w 1119768"/>
              <a:gd name="connsiteY16" fmla="*/ 562207 h 1180171"/>
              <a:gd name="connsiteX17" fmla="*/ 952500 w 1119768"/>
              <a:gd name="connsiteY17" fmla="*/ 585439 h 1180171"/>
              <a:gd name="connsiteX18" fmla="*/ 971085 w 1119768"/>
              <a:gd name="connsiteY18" fmla="*/ 631902 h 1180171"/>
              <a:gd name="connsiteX19" fmla="*/ 994317 w 1119768"/>
              <a:gd name="connsiteY19" fmla="*/ 678366 h 1180171"/>
              <a:gd name="connsiteX20" fmla="*/ 896744 w 1119768"/>
              <a:gd name="connsiteY20" fmla="*/ 743414 h 1180171"/>
              <a:gd name="connsiteX21" fmla="*/ 887451 w 1119768"/>
              <a:gd name="connsiteY21" fmla="*/ 845634 h 1180171"/>
              <a:gd name="connsiteX22" fmla="*/ 845634 w 1119768"/>
              <a:gd name="connsiteY22" fmla="*/ 868866 h 1180171"/>
              <a:gd name="connsiteX23" fmla="*/ 775939 w 1119768"/>
              <a:gd name="connsiteY23" fmla="*/ 854927 h 1180171"/>
              <a:gd name="connsiteX24" fmla="*/ 748061 w 1119768"/>
              <a:gd name="connsiteY24" fmla="*/ 896744 h 1180171"/>
              <a:gd name="connsiteX25" fmla="*/ 683012 w 1119768"/>
              <a:gd name="connsiteY25" fmla="*/ 859573 h 1180171"/>
              <a:gd name="connsiteX26" fmla="*/ 636549 w 1119768"/>
              <a:gd name="connsiteY26" fmla="*/ 915329 h 1180171"/>
              <a:gd name="connsiteX27" fmla="*/ 636549 w 1119768"/>
              <a:gd name="connsiteY27" fmla="*/ 952500 h 1180171"/>
              <a:gd name="connsiteX28" fmla="*/ 590085 w 1119768"/>
              <a:gd name="connsiteY28" fmla="*/ 989671 h 1180171"/>
              <a:gd name="connsiteX29" fmla="*/ 552914 w 1119768"/>
              <a:gd name="connsiteY29" fmla="*/ 1008256 h 1180171"/>
              <a:gd name="connsiteX30" fmla="*/ 548268 w 1119768"/>
              <a:gd name="connsiteY30" fmla="*/ 1068658 h 1180171"/>
              <a:gd name="connsiteX31" fmla="*/ 557561 w 1119768"/>
              <a:gd name="connsiteY31" fmla="*/ 1115122 h 1180171"/>
              <a:gd name="connsiteX32" fmla="*/ 525036 w 1119768"/>
              <a:gd name="connsiteY32" fmla="*/ 1180171 h 1180171"/>
              <a:gd name="connsiteX33" fmla="*/ 469280 w 1119768"/>
              <a:gd name="connsiteY33" fmla="*/ 1175524 h 1180171"/>
              <a:gd name="connsiteX34" fmla="*/ 478573 w 1119768"/>
              <a:gd name="connsiteY34" fmla="*/ 1115122 h 1180171"/>
              <a:gd name="connsiteX35" fmla="*/ 422817 w 1119768"/>
              <a:gd name="connsiteY35" fmla="*/ 1101183 h 1180171"/>
              <a:gd name="connsiteX36" fmla="*/ 408878 w 1119768"/>
              <a:gd name="connsiteY36" fmla="*/ 985024 h 1180171"/>
              <a:gd name="connsiteX37" fmla="*/ 459988 w 1119768"/>
              <a:gd name="connsiteY37" fmla="*/ 966439 h 1180171"/>
              <a:gd name="connsiteX38" fmla="*/ 427463 w 1119768"/>
              <a:gd name="connsiteY38" fmla="*/ 915329 h 1180171"/>
              <a:gd name="connsiteX39" fmla="*/ 459988 w 1119768"/>
              <a:gd name="connsiteY39" fmla="*/ 850280 h 1180171"/>
              <a:gd name="connsiteX40" fmla="*/ 394939 w 1119768"/>
              <a:gd name="connsiteY40" fmla="*/ 892097 h 1180171"/>
              <a:gd name="connsiteX41" fmla="*/ 343829 w 1119768"/>
              <a:gd name="connsiteY41" fmla="*/ 831695 h 1180171"/>
              <a:gd name="connsiteX42" fmla="*/ 367061 w 1119768"/>
              <a:gd name="connsiteY42" fmla="*/ 794524 h 1180171"/>
              <a:gd name="connsiteX43" fmla="*/ 339183 w 1119768"/>
              <a:gd name="connsiteY43" fmla="*/ 724829 h 1180171"/>
              <a:gd name="connsiteX44" fmla="*/ 390292 w 1119768"/>
              <a:gd name="connsiteY44" fmla="*/ 683012 h 1180171"/>
              <a:gd name="connsiteX45" fmla="*/ 459988 w 1119768"/>
              <a:gd name="connsiteY45" fmla="*/ 678366 h 1180171"/>
              <a:gd name="connsiteX46" fmla="*/ 483219 w 1119768"/>
              <a:gd name="connsiteY46" fmla="*/ 613317 h 1180171"/>
              <a:gd name="connsiteX47" fmla="*/ 455341 w 1119768"/>
              <a:gd name="connsiteY47" fmla="*/ 529683 h 1180171"/>
              <a:gd name="connsiteX48" fmla="*/ 450695 w 1119768"/>
              <a:gd name="connsiteY48" fmla="*/ 645841 h 1180171"/>
              <a:gd name="connsiteX49" fmla="*/ 362414 w 1119768"/>
              <a:gd name="connsiteY49" fmla="*/ 655134 h 1180171"/>
              <a:gd name="connsiteX50" fmla="*/ 306658 w 1119768"/>
              <a:gd name="connsiteY50" fmla="*/ 627256 h 1180171"/>
              <a:gd name="connsiteX51" fmla="*/ 315951 w 1119768"/>
              <a:gd name="connsiteY51" fmla="*/ 701597 h 1180171"/>
              <a:gd name="connsiteX52" fmla="*/ 288073 w 1119768"/>
              <a:gd name="connsiteY52" fmla="*/ 738768 h 1180171"/>
              <a:gd name="connsiteX53" fmla="*/ 311305 w 1119768"/>
              <a:gd name="connsiteY53" fmla="*/ 785232 h 1180171"/>
              <a:gd name="connsiteX54" fmla="*/ 213731 w 1119768"/>
              <a:gd name="connsiteY54" fmla="*/ 757353 h 1180171"/>
              <a:gd name="connsiteX55" fmla="*/ 120805 w 1119768"/>
              <a:gd name="connsiteY55" fmla="*/ 724829 h 1180171"/>
              <a:gd name="connsiteX56" fmla="*/ 120805 w 1119768"/>
              <a:gd name="connsiteY56" fmla="*/ 659780 h 1180171"/>
              <a:gd name="connsiteX57" fmla="*/ 55756 w 1119768"/>
              <a:gd name="connsiteY57" fmla="*/ 608671 h 1180171"/>
              <a:gd name="connsiteX58" fmla="*/ 0 w 1119768"/>
              <a:gd name="connsiteY58" fmla="*/ 590085 h 1180171"/>
              <a:gd name="connsiteX59" fmla="*/ 65049 w 1119768"/>
              <a:gd name="connsiteY59" fmla="*/ 585439 h 1180171"/>
              <a:gd name="connsiteX60" fmla="*/ 130097 w 1119768"/>
              <a:gd name="connsiteY60" fmla="*/ 552914 h 1180171"/>
              <a:gd name="connsiteX61" fmla="*/ 144036 w 1119768"/>
              <a:gd name="connsiteY61" fmla="*/ 590085 h 1180171"/>
              <a:gd name="connsiteX62" fmla="*/ 195146 w 1119768"/>
              <a:gd name="connsiteY62" fmla="*/ 590085 h 1180171"/>
              <a:gd name="connsiteX63" fmla="*/ 195146 w 1119768"/>
              <a:gd name="connsiteY63" fmla="*/ 534329 h 1180171"/>
              <a:gd name="connsiteX64" fmla="*/ 195146 w 1119768"/>
              <a:gd name="connsiteY64" fmla="*/ 534329 h 1180171"/>
              <a:gd name="connsiteX65" fmla="*/ 232317 w 1119768"/>
              <a:gd name="connsiteY65" fmla="*/ 473927 h 1180171"/>
              <a:gd name="connsiteX66" fmla="*/ 292719 w 1119768"/>
              <a:gd name="connsiteY66" fmla="*/ 473927 h 1180171"/>
              <a:gd name="connsiteX67" fmla="*/ 246256 w 1119768"/>
              <a:gd name="connsiteY67" fmla="*/ 404232 h 1180171"/>
              <a:gd name="connsiteX68" fmla="*/ 292719 w 1119768"/>
              <a:gd name="connsiteY68" fmla="*/ 381000 h 1180171"/>
              <a:gd name="connsiteX69" fmla="*/ 315951 w 1119768"/>
              <a:gd name="connsiteY69" fmla="*/ 288073 h 1180171"/>
              <a:gd name="connsiteX70" fmla="*/ 274134 w 1119768"/>
              <a:gd name="connsiteY70" fmla="*/ 236963 h 1180171"/>
              <a:gd name="connsiteX71" fmla="*/ 315951 w 1119768"/>
              <a:gd name="connsiteY71" fmla="*/ 218378 h 1180171"/>
              <a:gd name="connsiteX72" fmla="*/ 450695 w 1119768"/>
              <a:gd name="connsiteY72" fmla="*/ 55756 h 1180171"/>
              <a:gd name="connsiteX73" fmla="*/ 455341 w 1119768"/>
              <a:gd name="connsiteY73" fmla="*/ 111512 h 1180171"/>
              <a:gd name="connsiteX74" fmla="*/ 576146 w 1119768"/>
              <a:gd name="connsiteY74" fmla="*/ 167268 h 1180171"/>
              <a:gd name="connsiteX75" fmla="*/ 655134 w 1119768"/>
              <a:gd name="connsiteY75" fmla="*/ 92927 h 1180171"/>
              <a:gd name="connsiteX76" fmla="*/ 655134 w 1119768"/>
              <a:gd name="connsiteY76" fmla="*/ 32524 h 1180171"/>
              <a:gd name="connsiteX77" fmla="*/ 743414 w 1119768"/>
              <a:gd name="connsiteY77" fmla="*/ 0 h 11801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</a:cxnLst>
            <a:rect l="l" t="t" r="r" b="b"/>
            <a:pathLst>
              <a:path w="1119768" h="1180171">
                <a:moveTo>
                  <a:pt x="743414" y="0"/>
                </a:moveTo>
                <a:lnTo>
                  <a:pt x="873512" y="139390"/>
                </a:lnTo>
                <a:lnTo>
                  <a:pt x="873512" y="181207"/>
                </a:lnTo>
                <a:lnTo>
                  <a:pt x="910683" y="185853"/>
                </a:lnTo>
                <a:lnTo>
                  <a:pt x="933914" y="209085"/>
                </a:lnTo>
                <a:lnTo>
                  <a:pt x="994317" y="213732"/>
                </a:lnTo>
                <a:lnTo>
                  <a:pt x="998963" y="232317"/>
                </a:lnTo>
                <a:lnTo>
                  <a:pt x="994317" y="311305"/>
                </a:lnTo>
                <a:lnTo>
                  <a:pt x="1087244" y="311305"/>
                </a:lnTo>
                <a:lnTo>
                  <a:pt x="1091890" y="348475"/>
                </a:lnTo>
                <a:lnTo>
                  <a:pt x="1119768" y="394939"/>
                </a:lnTo>
                <a:lnTo>
                  <a:pt x="1054719" y="418171"/>
                </a:lnTo>
                <a:lnTo>
                  <a:pt x="998963" y="432110"/>
                </a:lnTo>
                <a:lnTo>
                  <a:pt x="952500" y="492512"/>
                </a:lnTo>
                <a:lnTo>
                  <a:pt x="915329" y="492512"/>
                </a:lnTo>
                <a:lnTo>
                  <a:pt x="896744" y="529683"/>
                </a:lnTo>
                <a:lnTo>
                  <a:pt x="896744" y="562207"/>
                </a:lnTo>
                <a:lnTo>
                  <a:pt x="952500" y="585439"/>
                </a:lnTo>
                <a:lnTo>
                  <a:pt x="971085" y="631902"/>
                </a:lnTo>
                <a:lnTo>
                  <a:pt x="994317" y="678366"/>
                </a:lnTo>
                <a:lnTo>
                  <a:pt x="896744" y="743414"/>
                </a:lnTo>
                <a:lnTo>
                  <a:pt x="887451" y="845634"/>
                </a:lnTo>
                <a:lnTo>
                  <a:pt x="845634" y="868866"/>
                </a:lnTo>
                <a:lnTo>
                  <a:pt x="775939" y="854927"/>
                </a:lnTo>
                <a:lnTo>
                  <a:pt x="748061" y="896744"/>
                </a:lnTo>
                <a:lnTo>
                  <a:pt x="683012" y="859573"/>
                </a:lnTo>
                <a:lnTo>
                  <a:pt x="636549" y="915329"/>
                </a:lnTo>
                <a:lnTo>
                  <a:pt x="636549" y="952500"/>
                </a:lnTo>
                <a:lnTo>
                  <a:pt x="590085" y="989671"/>
                </a:lnTo>
                <a:lnTo>
                  <a:pt x="552914" y="1008256"/>
                </a:lnTo>
                <a:lnTo>
                  <a:pt x="548268" y="1068658"/>
                </a:lnTo>
                <a:lnTo>
                  <a:pt x="557561" y="1115122"/>
                </a:lnTo>
                <a:lnTo>
                  <a:pt x="525036" y="1180171"/>
                </a:lnTo>
                <a:lnTo>
                  <a:pt x="469280" y="1175524"/>
                </a:lnTo>
                <a:lnTo>
                  <a:pt x="478573" y="1115122"/>
                </a:lnTo>
                <a:lnTo>
                  <a:pt x="422817" y="1101183"/>
                </a:lnTo>
                <a:lnTo>
                  <a:pt x="408878" y="985024"/>
                </a:lnTo>
                <a:lnTo>
                  <a:pt x="459988" y="966439"/>
                </a:lnTo>
                <a:lnTo>
                  <a:pt x="427463" y="915329"/>
                </a:lnTo>
                <a:lnTo>
                  <a:pt x="459988" y="850280"/>
                </a:lnTo>
                <a:lnTo>
                  <a:pt x="394939" y="892097"/>
                </a:lnTo>
                <a:lnTo>
                  <a:pt x="343829" y="831695"/>
                </a:lnTo>
                <a:lnTo>
                  <a:pt x="367061" y="794524"/>
                </a:lnTo>
                <a:lnTo>
                  <a:pt x="339183" y="724829"/>
                </a:lnTo>
                <a:lnTo>
                  <a:pt x="390292" y="683012"/>
                </a:lnTo>
                <a:lnTo>
                  <a:pt x="459988" y="678366"/>
                </a:lnTo>
                <a:lnTo>
                  <a:pt x="483219" y="613317"/>
                </a:lnTo>
                <a:lnTo>
                  <a:pt x="455341" y="529683"/>
                </a:lnTo>
                <a:lnTo>
                  <a:pt x="450695" y="645841"/>
                </a:lnTo>
                <a:lnTo>
                  <a:pt x="362414" y="655134"/>
                </a:lnTo>
                <a:lnTo>
                  <a:pt x="306658" y="627256"/>
                </a:lnTo>
                <a:lnTo>
                  <a:pt x="315951" y="701597"/>
                </a:lnTo>
                <a:lnTo>
                  <a:pt x="288073" y="738768"/>
                </a:lnTo>
                <a:lnTo>
                  <a:pt x="311305" y="785232"/>
                </a:lnTo>
                <a:lnTo>
                  <a:pt x="213731" y="757353"/>
                </a:lnTo>
                <a:lnTo>
                  <a:pt x="120805" y="724829"/>
                </a:lnTo>
                <a:lnTo>
                  <a:pt x="120805" y="659780"/>
                </a:lnTo>
                <a:lnTo>
                  <a:pt x="55756" y="608671"/>
                </a:lnTo>
                <a:lnTo>
                  <a:pt x="0" y="590085"/>
                </a:lnTo>
                <a:lnTo>
                  <a:pt x="65049" y="585439"/>
                </a:lnTo>
                <a:lnTo>
                  <a:pt x="130097" y="552914"/>
                </a:lnTo>
                <a:lnTo>
                  <a:pt x="144036" y="590085"/>
                </a:lnTo>
                <a:lnTo>
                  <a:pt x="195146" y="590085"/>
                </a:lnTo>
                <a:lnTo>
                  <a:pt x="195146" y="534329"/>
                </a:lnTo>
                <a:lnTo>
                  <a:pt x="195146" y="534329"/>
                </a:lnTo>
                <a:lnTo>
                  <a:pt x="232317" y="473927"/>
                </a:lnTo>
                <a:lnTo>
                  <a:pt x="292719" y="473927"/>
                </a:lnTo>
                <a:lnTo>
                  <a:pt x="246256" y="404232"/>
                </a:lnTo>
                <a:lnTo>
                  <a:pt x="292719" y="381000"/>
                </a:lnTo>
                <a:lnTo>
                  <a:pt x="315951" y="288073"/>
                </a:lnTo>
                <a:lnTo>
                  <a:pt x="274134" y="236963"/>
                </a:lnTo>
                <a:lnTo>
                  <a:pt x="315951" y="218378"/>
                </a:lnTo>
                <a:lnTo>
                  <a:pt x="450695" y="55756"/>
                </a:lnTo>
                <a:lnTo>
                  <a:pt x="455341" y="111512"/>
                </a:lnTo>
                <a:lnTo>
                  <a:pt x="576146" y="167268"/>
                </a:lnTo>
                <a:lnTo>
                  <a:pt x="655134" y="92927"/>
                </a:lnTo>
                <a:lnTo>
                  <a:pt x="655134" y="32524"/>
                </a:lnTo>
                <a:lnTo>
                  <a:pt x="743414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7" name="Freeform 36"/>
          <xdr:cNvSpPr/>
        </xdr:nvSpPr>
        <xdr:spPr>
          <a:xfrm>
            <a:off x="2939518" y="4906537"/>
            <a:ext cx="88280" cy="106865"/>
          </a:xfrm>
          <a:custGeom>
            <a:avLst/>
            <a:gdLst>
              <a:gd name="connsiteX0" fmla="*/ 0 w 88280"/>
              <a:gd name="connsiteY0" fmla="*/ 0 h 106865"/>
              <a:gd name="connsiteX1" fmla="*/ 88280 w 88280"/>
              <a:gd name="connsiteY1" fmla="*/ 74341 h 106865"/>
              <a:gd name="connsiteX2" fmla="*/ 78988 w 88280"/>
              <a:gd name="connsiteY2" fmla="*/ 106865 h 106865"/>
              <a:gd name="connsiteX3" fmla="*/ 0 w 88280"/>
              <a:gd name="connsiteY3" fmla="*/ 0 h 1068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88280" h="106865">
                <a:moveTo>
                  <a:pt x="0" y="0"/>
                </a:moveTo>
                <a:lnTo>
                  <a:pt x="88280" y="74341"/>
                </a:lnTo>
                <a:lnTo>
                  <a:pt x="78988" y="106865"/>
                </a:lnTo>
                <a:lnTo>
                  <a:pt x="0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8" name="Freeform 37"/>
          <xdr:cNvSpPr/>
        </xdr:nvSpPr>
        <xdr:spPr>
          <a:xfrm>
            <a:off x="2962749" y="5148146"/>
            <a:ext cx="125047" cy="65049"/>
          </a:xfrm>
          <a:custGeom>
            <a:avLst/>
            <a:gdLst>
              <a:gd name="connsiteX0" fmla="*/ 120805 w 120805"/>
              <a:gd name="connsiteY0" fmla="*/ 65049 h 65049"/>
              <a:gd name="connsiteX1" fmla="*/ 0 w 120805"/>
              <a:gd name="connsiteY1" fmla="*/ 37171 h 65049"/>
              <a:gd name="connsiteX2" fmla="*/ 13940 w 120805"/>
              <a:gd name="connsiteY2" fmla="*/ 0 h 65049"/>
              <a:gd name="connsiteX3" fmla="*/ 120805 w 120805"/>
              <a:gd name="connsiteY3" fmla="*/ 65049 h 650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20805" h="65049">
                <a:moveTo>
                  <a:pt x="120805" y="65049"/>
                </a:moveTo>
                <a:lnTo>
                  <a:pt x="0" y="37171"/>
                </a:lnTo>
                <a:lnTo>
                  <a:pt x="13940" y="0"/>
                </a:lnTo>
                <a:lnTo>
                  <a:pt x="120805" y="65049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5</xdr:col>
      <xdr:colOff>208948</xdr:colOff>
      <xdr:row>19</xdr:row>
      <xdr:rowOff>122021</xdr:rowOff>
    </xdr:from>
    <xdr:to>
      <xdr:col>7</xdr:col>
      <xdr:colOff>481241</xdr:colOff>
      <xdr:row>25</xdr:row>
      <xdr:rowOff>53666</xdr:rowOff>
    </xdr:to>
    <xdr:grpSp>
      <xdr:nvGrpSpPr>
        <xdr:cNvPr id="22" name="Splitsko_dalmatinska_županija"/>
        <xdr:cNvGrpSpPr/>
      </xdr:nvGrpSpPr>
      <xdr:grpSpPr>
        <a:xfrm>
          <a:off x="4085623" y="3998696"/>
          <a:ext cx="1139068" cy="1084170"/>
          <a:chOff x="3468796" y="4664927"/>
          <a:chExt cx="1685410" cy="1598341"/>
        </a:xfrm>
        <a:solidFill>
          <a:schemeClr val="bg1">
            <a:lumMod val="65000"/>
          </a:schemeClr>
        </a:solidFill>
      </xdr:grpSpPr>
      <xdr:sp macro="" textlink="">
        <xdr:nvSpPr>
          <xdr:cNvPr id="30" name="Freeform 29"/>
          <xdr:cNvSpPr/>
        </xdr:nvSpPr>
        <xdr:spPr>
          <a:xfrm>
            <a:off x="3468796" y="4664927"/>
            <a:ext cx="1685410" cy="1435719"/>
          </a:xfrm>
          <a:custGeom>
            <a:avLst/>
            <a:gdLst>
              <a:gd name="connsiteX0" fmla="*/ 599378 w 1672683"/>
              <a:gd name="connsiteY0" fmla="*/ 0 h 1435719"/>
              <a:gd name="connsiteX1" fmla="*/ 627256 w 1672683"/>
              <a:gd name="connsiteY1" fmla="*/ 51110 h 1435719"/>
              <a:gd name="connsiteX2" fmla="*/ 669074 w 1672683"/>
              <a:gd name="connsiteY2" fmla="*/ 55756 h 1435719"/>
              <a:gd name="connsiteX3" fmla="*/ 692305 w 1672683"/>
              <a:gd name="connsiteY3" fmla="*/ 106866 h 1435719"/>
              <a:gd name="connsiteX4" fmla="*/ 738769 w 1672683"/>
              <a:gd name="connsiteY4" fmla="*/ 162622 h 1435719"/>
              <a:gd name="connsiteX5" fmla="*/ 817756 w 1672683"/>
              <a:gd name="connsiteY5" fmla="*/ 227671 h 1435719"/>
              <a:gd name="connsiteX6" fmla="*/ 822403 w 1672683"/>
              <a:gd name="connsiteY6" fmla="*/ 288073 h 1435719"/>
              <a:gd name="connsiteX7" fmla="*/ 822403 w 1672683"/>
              <a:gd name="connsiteY7" fmla="*/ 325244 h 1435719"/>
              <a:gd name="connsiteX8" fmla="*/ 854927 w 1672683"/>
              <a:gd name="connsiteY8" fmla="*/ 348475 h 1435719"/>
              <a:gd name="connsiteX9" fmla="*/ 906037 w 1672683"/>
              <a:gd name="connsiteY9" fmla="*/ 357768 h 1435719"/>
              <a:gd name="connsiteX10" fmla="*/ 961793 w 1672683"/>
              <a:gd name="connsiteY10" fmla="*/ 422817 h 1435719"/>
              <a:gd name="connsiteX11" fmla="*/ 1003610 w 1672683"/>
              <a:gd name="connsiteY11" fmla="*/ 436756 h 1435719"/>
              <a:gd name="connsiteX12" fmla="*/ 1017549 w 1672683"/>
              <a:gd name="connsiteY12" fmla="*/ 469280 h 1435719"/>
              <a:gd name="connsiteX13" fmla="*/ 1031488 w 1672683"/>
              <a:gd name="connsiteY13" fmla="*/ 492512 h 1435719"/>
              <a:gd name="connsiteX14" fmla="*/ 1045427 w 1672683"/>
              <a:gd name="connsiteY14" fmla="*/ 529683 h 1435719"/>
              <a:gd name="connsiteX15" fmla="*/ 1077952 w 1672683"/>
              <a:gd name="connsiteY15" fmla="*/ 562207 h 1435719"/>
              <a:gd name="connsiteX16" fmla="*/ 1101183 w 1672683"/>
              <a:gd name="connsiteY16" fmla="*/ 608671 h 1435719"/>
              <a:gd name="connsiteX17" fmla="*/ 1143000 w 1672683"/>
              <a:gd name="connsiteY17" fmla="*/ 622610 h 1435719"/>
              <a:gd name="connsiteX18" fmla="*/ 1166232 w 1672683"/>
              <a:gd name="connsiteY18" fmla="*/ 669073 h 1435719"/>
              <a:gd name="connsiteX19" fmla="*/ 1208049 w 1672683"/>
              <a:gd name="connsiteY19" fmla="*/ 724829 h 1435719"/>
              <a:gd name="connsiteX20" fmla="*/ 1240574 w 1672683"/>
              <a:gd name="connsiteY20" fmla="*/ 715536 h 1435719"/>
              <a:gd name="connsiteX21" fmla="*/ 1352086 w 1672683"/>
              <a:gd name="connsiteY21" fmla="*/ 808463 h 1435719"/>
              <a:gd name="connsiteX22" fmla="*/ 1417135 w 1672683"/>
              <a:gd name="connsiteY22" fmla="*/ 799171 h 1435719"/>
              <a:gd name="connsiteX23" fmla="*/ 1486830 w 1672683"/>
              <a:gd name="connsiteY23" fmla="*/ 831695 h 1435719"/>
              <a:gd name="connsiteX24" fmla="*/ 1491476 w 1672683"/>
              <a:gd name="connsiteY24" fmla="*/ 906036 h 1435719"/>
              <a:gd name="connsiteX25" fmla="*/ 1477537 w 1672683"/>
              <a:gd name="connsiteY25" fmla="*/ 957146 h 1435719"/>
              <a:gd name="connsiteX26" fmla="*/ 1440366 w 1672683"/>
              <a:gd name="connsiteY26" fmla="*/ 985024 h 1435719"/>
              <a:gd name="connsiteX27" fmla="*/ 1468244 w 1672683"/>
              <a:gd name="connsiteY27" fmla="*/ 1022195 h 1435719"/>
              <a:gd name="connsiteX28" fmla="*/ 1505415 w 1672683"/>
              <a:gd name="connsiteY28" fmla="*/ 1124414 h 1435719"/>
              <a:gd name="connsiteX29" fmla="*/ 1537939 w 1672683"/>
              <a:gd name="connsiteY29" fmla="*/ 1180171 h 1435719"/>
              <a:gd name="connsiteX30" fmla="*/ 1575110 w 1672683"/>
              <a:gd name="connsiteY30" fmla="*/ 1203402 h 1435719"/>
              <a:gd name="connsiteX31" fmla="*/ 1626220 w 1672683"/>
              <a:gd name="connsiteY31" fmla="*/ 1208049 h 1435719"/>
              <a:gd name="connsiteX32" fmla="*/ 1672683 w 1672683"/>
              <a:gd name="connsiteY32" fmla="*/ 1273097 h 1435719"/>
              <a:gd name="connsiteX33" fmla="*/ 1663391 w 1672683"/>
              <a:gd name="connsiteY33" fmla="*/ 1333500 h 1435719"/>
              <a:gd name="connsiteX34" fmla="*/ 1579756 w 1672683"/>
              <a:gd name="connsiteY34" fmla="*/ 1352085 h 1435719"/>
              <a:gd name="connsiteX35" fmla="*/ 1556525 w 1672683"/>
              <a:gd name="connsiteY35" fmla="*/ 1370671 h 1435719"/>
              <a:gd name="connsiteX36" fmla="*/ 1602988 w 1672683"/>
              <a:gd name="connsiteY36" fmla="*/ 1407841 h 1435719"/>
              <a:gd name="connsiteX37" fmla="*/ 1556525 w 1672683"/>
              <a:gd name="connsiteY37" fmla="*/ 1435719 h 1435719"/>
              <a:gd name="connsiteX38" fmla="*/ 1375317 w 1672683"/>
              <a:gd name="connsiteY38" fmla="*/ 1328853 h 1435719"/>
              <a:gd name="connsiteX39" fmla="*/ 1305622 w 1672683"/>
              <a:gd name="connsiteY39" fmla="*/ 1287036 h 1435719"/>
              <a:gd name="connsiteX40" fmla="*/ 1208049 w 1672683"/>
              <a:gd name="connsiteY40" fmla="*/ 1147646 h 1435719"/>
              <a:gd name="connsiteX41" fmla="*/ 1012903 w 1672683"/>
              <a:gd name="connsiteY41" fmla="*/ 943207 h 1435719"/>
              <a:gd name="connsiteX42" fmla="*/ 817756 w 1672683"/>
              <a:gd name="connsiteY42" fmla="*/ 933914 h 1435719"/>
              <a:gd name="connsiteX43" fmla="*/ 785232 w 1672683"/>
              <a:gd name="connsiteY43" fmla="*/ 868866 h 1435719"/>
              <a:gd name="connsiteX44" fmla="*/ 715537 w 1672683"/>
              <a:gd name="connsiteY44" fmla="*/ 878158 h 1435719"/>
              <a:gd name="connsiteX45" fmla="*/ 576147 w 1672683"/>
              <a:gd name="connsiteY45" fmla="*/ 771293 h 1435719"/>
              <a:gd name="connsiteX46" fmla="*/ 455342 w 1672683"/>
              <a:gd name="connsiteY46" fmla="*/ 780585 h 1435719"/>
              <a:gd name="connsiteX47" fmla="*/ 446049 w 1672683"/>
              <a:gd name="connsiteY47" fmla="*/ 752707 h 1435719"/>
              <a:gd name="connsiteX48" fmla="*/ 525037 w 1672683"/>
              <a:gd name="connsiteY48" fmla="*/ 729475 h 1435719"/>
              <a:gd name="connsiteX49" fmla="*/ 501805 w 1672683"/>
              <a:gd name="connsiteY49" fmla="*/ 706244 h 1435719"/>
              <a:gd name="connsiteX50" fmla="*/ 413525 w 1672683"/>
              <a:gd name="connsiteY50" fmla="*/ 696951 h 1435719"/>
              <a:gd name="connsiteX51" fmla="*/ 348476 w 1672683"/>
              <a:gd name="connsiteY51" fmla="*/ 706244 h 1435719"/>
              <a:gd name="connsiteX52" fmla="*/ 269488 w 1672683"/>
              <a:gd name="connsiteY52" fmla="*/ 743414 h 1435719"/>
              <a:gd name="connsiteX53" fmla="*/ 190500 w 1672683"/>
              <a:gd name="connsiteY53" fmla="*/ 766646 h 1435719"/>
              <a:gd name="connsiteX54" fmla="*/ 106866 w 1672683"/>
              <a:gd name="connsiteY54" fmla="*/ 748061 h 1435719"/>
              <a:gd name="connsiteX55" fmla="*/ 97574 w 1672683"/>
              <a:gd name="connsiteY55" fmla="*/ 775939 h 1435719"/>
              <a:gd name="connsiteX56" fmla="*/ 153330 w 1672683"/>
              <a:gd name="connsiteY56" fmla="*/ 808463 h 1435719"/>
              <a:gd name="connsiteX57" fmla="*/ 83635 w 1672683"/>
              <a:gd name="connsiteY57" fmla="*/ 831695 h 1435719"/>
              <a:gd name="connsiteX58" fmla="*/ 0 w 1672683"/>
              <a:gd name="connsiteY58" fmla="*/ 799171 h 1435719"/>
              <a:gd name="connsiteX59" fmla="*/ 0 w 1672683"/>
              <a:gd name="connsiteY59" fmla="*/ 785232 h 1435719"/>
              <a:gd name="connsiteX60" fmla="*/ 32525 w 1672683"/>
              <a:gd name="connsiteY60" fmla="*/ 715536 h 1435719"/>
              <a:gd name="connsiteX61" fmla="*/ 27878 w 1672683"/>
              <a:gd name="connsiteY61" fmla="*/ 594732 h 1435719"/>
              <a:gd name="connsiteX62" fmla="*/ 106866 w 1672683"/>
              <a:gd name="connsiteY62" fmla="*/ 552914 h 1435719"/>
              <a:gd name="connsiteX63" fmla="*/ 106866 w 1672683"/>
              <a:gd name="connsiteY63" fmla="*/ 511097 h 1435719"/>
              <a:gd name="connsiteX64" fmla="*/ 157976 w 1672683"/>
              <a:gd name="connsiteY64" fmla="*/ 473927 h 1435719"/>
              <a:gd name="connsiteX65" fmla="*/ 232317 w 1672683"/>
              <a:gd name="connsiteY65" fmla="*/ 497158 h 1435719"/>
              <a:gd name="connsiteX66" fmla="*/ 250903 w 1672683"/>
              <a:gd name="connsiteY66" fmla="*/ 455341 h 1435719"/>
              <a:gd name="connsiteX67" fmla="*/ 329891 w 1672683"/>
              <a:gd name="connsiteY67" fmla="*/ 478573 h 1435719"/>
              <a:gd name="connsiteX68" fmla="*/ 362415 w 1672683"/>
              <a:gd name="connsiteY68" fmla="*/ 446049 h 1435719"/>
              <a:gd name="connsiteX69" fmla="*/ 376354 w 1672683"/>
              <a:gd name="connsiteY69" fmla="*/ 343829 h 1435719"/>
              <a:gd name="connsiteX70" fmla="*/ 459988 w 1672683"/>
              <a:gd name="connsiteY70" fmla="*/ 288073 h 1435719"/>
              <a:gd name="connsiteX71" fmla="*/ 427464 w 1672683"/>
              <a:gd name="connsiteY71" fmla="*/ 181207 h 1435719"/>
              <a:gd name="connsiteX72" fmla="*/ 371708 w 1672683"/>
              <a:gd name="connsiteY72" fmla="*/ 167268 h 1435719"/>
              <a:gd name="connsiteX73" fmla="*/ 371708 w 1672683"/>
              <a:gd name="connsiteY73" fmla="*/ 125451 h 1435719"/>
              <a:gd name="connsiteX74" fmla="*/ 390293 w 1672683"/>
              <a:gd name="connsiteY74" fmla="*/ 97573 h 1435719"/>
              <a:gd name="connsiteX75" fmla="*/ 427464 w 1672683"/>
              <a:gd name="connsiteY75" fmla="*/ 92927 h 1435719"/>
              <a:gd name="connsiteX76" fmla="*/ 464635 w 1672683"/>
              <a:gd name="connsiteY76" fmla="*/ 37171 h 1435719"/>
              <a:gd name="connsiteX77" fmla="*/ 599378 w 1672683"/>
              <a:gd name="connsiteY77" fmla="*/ 0 h 14357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</a:cxnLst>
            <a:rect l="l" t="t" r="r" b="b"/>
            <a:pathLst>
              <a:path w="1672683" h="1435719">
                <a:moveTo>
                  <a:pt x="599378" y="0"/>
                </a:moveTo>
                <a:lnTo>
                  <a:pt x="627256" y="51110"/>
                </a:lnTo>
                <a:lnTo>
                  <a:pt x="669074" y="55756"/>
                </a:lnTo>
                <a:lnTo>
                  <a:pt x="692305" y="106866"/>
                </a:lnTo>
                <a:lnTo>
                  <a:pt x="738769" y="162622"/>
                </a:lnTo>
                <a:lnTo>
                  <a:pt x="817756" y="227671"/>
                </a:lnTo>
                <a:lnTo>
                  <a:pt x="822403" y="288073"/>
                </a:lnTo>
                <a:lnTo>
                  <a:pt x="822403" y="325244"/>
                </a:lnTo>
                <a:lnTo>
                  <a:pt x="854927" y="348475"/>
                </a:lnTo>
                <a:lnTo>
                  <a:pt x="906037" y="357768"/>
                </a:lnTo>
                <a:lnTo>
                  <a:pt x="961793" y="422817"/>
                </a:lnTo>
                <a:lnTo>
                  <a:pt x="1003610" y="436756"/>
                </a:lnTo>
                <a:lnTo>
                  <a:pt x="1017549" y="469280"/>
                </a:lnTo>
                <a:lnTo>
                  <a:pt x="1031488" y="492512"/>
                </a:lnTo>
                <a:lnTo>
                  <a:pt x="1045427" y="529683"/>
                </a:lnTo>
                <a:lnTo>
                  <a:pt x="1077952" y="562207"/>
                </a:lnTo>
                <a:lnTo>
                  <a:pt x="1101183" y="608671"/>
                </a:lnTo>
                <a:lnTo>
                  <a:pt x="1143000" y="622610"/>
                </a:lnTo>
                <a:lnTo>
                  <a:pt x="1166232" y="669073"/>
                </a:lnTo>
                <a:lnTo>
                  <a:pt x="1208049" y="724829"/>
                </a:lnTo>
                <a:lnTo>
                  <a:pt x="1240574" y="715536"/>
                </a:lnTo>
                <a:lnTo>
                  <a:pt x="1352086" y="808463"/>
                </a:lnTo>
                <a:lnTo>
                  <a:pt x="1417135" y="799171"/>
                </a:lnTo>
                <a:lnTo>
                  <a:pt x="1486830" y="831695"/>
                </a:lnTo>
                <a:lnTo>
                  <a:pt x="1491476" y="906036"/>
                </a:lnTo>
                <a:lnTo>
                  <a:pt x="1477537" y="957146"/>
                </a:lnTo>
                <a:lnTo>
                  <a:pt x="1440366" y="985024"/>
                </a:lnTo>
                <a:lnTo>
                  <a:pt x="1468244" y="1022195"/>
                </a:lnTo>
                <a:lnTo>
                  <a:pt x="1505415" y="1124414"/>
                </a:lnTo>
                <a:lnTo>
                  <a:pt x="1537939" y="1180171"/>
                </a:lnTo>
                <a:lnTo>
                  <a:pt x="1575110" y="1203402"/>
                </a:lnTo>
                <a:lnTo>
                  <a:pt x="1626220" y="1208049"/>
                </a:lnTo>
                <a:lnTo>
                  <a:pt x="1672683" y="1273097"/>
                </a:lnTo>
                <a:lnTo>
                  <a:pt x="1663391" y="1333500"/>
                </a:lnTo>
                <a:lnTo>
                  <a:pt x="1579756" y="1352085"/>
                </a:lnTo>
                <a:lnTo>
                  <a:pt x="1556525" y="1370671"/>
                </a:lnTo>
                <a:lnTo>
                  <a:pt x="1602988" y="1407841"/>
                </a:lnTo>
                <a:lnTo>
                  <a:pt x="1556525" y="1435719"/>
                </a:lnTo>
                <a:lnTo>
                  <a:pt x="1375317" y="1328853"/>
                </a:lnTo>
                <a:lnTo>
                  <a:pt x="1305622" y="1287036"/>
                </a:lnTo>
                <a:lnTo>
                  <a:pt x="1208049" y="1147646"/>
                </a:lnTo>
                <a:lnTo>
                  <a:pt x="1012903" y="943207"/>
                </a:lnTo>
                <a:lnTo>
                  <a:pt x="817756" y="933914"/>
                </a:lnTo>
                <a:lnTo>
                  <a:pt x="785232" y="868866"/>
                </a:lnTo>
                <a:lnTo>
                  <a:pt x="715537" y="878158"/>
                </a:lnTo>
                <a:lnTo>
                  <a:pt x="576147" y="771293"/>
                </a:lnTo>
                <a:lnTo>
                  <a:pt x="455342" y="780585"/>
                </a:lnTo>
                <a:lnTo>
                  <a:pt x="446049" y="752707"/>
                </a:lnTo>
                <a:lnTo>
                  <a:pt x="525037" y="729475"/>
                </a:lnTo>
                <a:lnTo>
                  <a:pt x="501805" y="706244"/>
                </a:lnTo>
                <a:lnTo>
                  <a:pt x="413525" y="696951"/>
                </a:lnTo>
                <a:lnTo>
                  <a:pt x="348476" y="706244"/>
                </a:lnTo>
                <a:lnTo>
                  <a:pt x="269488" y="743414"/>
                </a:lnTo>
                <a:lnTo>
                  <a:pt x="190500" y="766646"/>
                </a:lnTo>
                <a:lnTo>
                  <a:pt x="106866" y="748061"/>
                </a:lnTo>
                <a:lnTo>
                  <a:pt x="97574" y="775939"/>
                </a:lnTo>
                <a:lnTo>
                  <a:pt x="153330" y="808463"/>
                </a:lnTo>
                <a:lnTo>
                  <a:pt x="83635" y="831695"/>
                </a:lnTo>
                <a:lnTo>
                  <a:pt x="0" y="799171"/>
                </a:lnTo>
                <a:lnTo>
                  <a:pt x="0" y="785232"/>
                </a:lnTo>
                <a:lnTo>
                  <a:pt x="32525" y="715536"/>
                </a:lnTo>
                <a:lnTo>
                  <a:pt x="27878" y="594732"/>
                </a:lnTo>
                <a:lnTo>
                  <a:pt x="106866" y="552914"/>
                </a:lnTo>
                <a:lnTo>
                  <a:pt x="106866" y="511097"/>
                </a:lnTo>
                <a:lnTo>
                  <a:pt x="157976" y="473927"/>
                </a:lnTo>
                <a:lnTo>
                  <a:pt x="232317" y="497158"/>
                </a:lnTo>
                <a:lnTo>
                  <a:pt x="250903" y="455341"/>
                </a:lnTo>
                <a:lnTo>
                  <a:pt x="329891" y="478573"/>
                </a:lnTo>
                <a:lnTo>
                  <a:pt x="362415" y="446049"/>
                </a:lnTo>
                <a:lnTo>
                  <a:pt x="376354" y="343829"/>
                </a:lnTo>
                <a:lnTo>
                  <a:pt x="459988" y="288073"/>
                </a:lnTo>
                <a:lnTo>
                  <a:pt x="427464" y="181207"/>
                </a:lnTo>
                <a:lnTo>
                  <a:pt x="371708" y="167268"/>
                </a:lnTo>
                <a:lnTo>
                  <a:pt x="371708" y="125451"/>
                </a:lnTo>
                <a:lnTo>
                  <a:pt x="390293" y="97573"/>
                </a:lnTo>
                <a:lnTo>
                  <a:pt x="427464" y="92927"/>
                </a:lnTo>
                <a:lnTo>
                  <a:pt x="464635" y="37171"/>
                </a:lnTo>
                <a:lnTo>
                  <a:pt x="599378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1" name="Freeform 30"/>
          <xdr:cNvSpPr/>
        </xdr:nvSpPr>
        <xdr:spPr>
          <a:xfrm>
            <a:off x="3928381" y="5626720"/>
            <a:ext cx="557156" cy="232317"/>
          </a:xfrm>
          <a:custGeom>
            <a:avLst/>
            <a:gdLst>
              <a:gd name="connsiteX0" fmla="*/ 18585 w 552914"/>
              <a:gd name="connsiteY0" fmla="*/ 0 h 232317"/>
              <a:gd name="connsiteX1" fmla="*/ 55756 w 552914"/>
              <a:gd name="connsiteY1" fmla="*/ 55756 h 232317"/>
              <a:gd name="connsiteX2" fmla="*/ 0 w 552914"/>
              <a:gd name="connsiteY2" fmla="*/ 111512 h 232317"/>
              <a:gd name="connsiteX3" fmla="*/ 32524 w 552914"/>
              <a:gd name="connsiteY3" fmla="*/ 130097 h 232317"/>
              <a:gd name="connsiteX4" fmla="*/ 69695 w 552914"/>
              <a:gd name="connsiteY4" fmla="*/ 167268 h 232317"/>
              <a:gd name="connsiteX5" fmla="*/ 106866 w 552914"/>
              <a:gd name="connsiteY5" fmla="*/ 195146 h 232317"/>
              <a:gd name="connsiteX6" fmla="*/ 106866 w 552914"/>
              <a:gd name="connsiteY6" fmla="*/ 195146 h 232317"/>
              <a:gd name="connsiteX7" fmla="*/ 218378 w 552914"/>
              <a:gd name="connsiteY7" fmla="*/ 218378 h 232317"/>
              <a:gd name="connsiteX8" fmla="*/ 283427 w 552914"/>
              <a:gd name="connsiteY8" fmla="*/ 232317 h 232317"/>
              <a:gd name="connsiteX9" fmla="*/ 394939 w 552914"/>
              <a:gd name="connsiteY9" fmla="*/ 227670 h 232317"/>
              <a:gd name="connsiteX10" fmla="*/ 506451 w 552914"/>
              <a:gd name="connsiteY10" fmla="*/ 204439 h 232317"/>
              <a:gd name="connsiteX11" fmla="*/ 543622 w 552914"/>
              <a:gd name="connsiteY11" fmla="*/ 171914 h 232317"/>
              <a:gd name="connsiteX12" fmla="*/ 552914 w 552914"/>
              <a:gd name="connsiteY12" fmla="*/ 139390 h 232317"/>
              <a:gd name="connsiteX13" fmla="*/ 520390 w 552914"/>
              <a:gd name="connsiteY13" fmla="*/ 97573 h 232317"/>
              <a:gd name="connsiteX14" fmla="*/ 483219 w 552914"/>
              <a:gd name="connsiteY14" fmla="*/ 88280 h 232317"/>
              <a:gd name="connsiteX15" fmla="*/ 446049 w 552914"/>
              <a:gd name="connsiteY15" fmla="*/ 65048 h 232317"/>
              <a:gd name="connsiteX16" fmla="*/ 399585 w 552914"/>
              <a:gd name="connsiteY16" fmla="*/ 65048 h 232317"/>
              <a:gd name="connsiteX17" fmla="*/ 399585 w 552914"/>
              <a:gd name="connsiteY17" fmla="*/ 65048 h 232317"/>
              <a:gd name="connsiteX18" fmla="*/ 311305 w 552914"/>
              <a:gd name="connsiteY18" fmla="*/ 41817 h 232317"/>
              <a:gd name="connsiteX19" fmla="*/ 269488 w 552914"/>
              <a:gd name="connsiteY19" fmla="*/ 32524 h 232317"/>
              <a:gd name="connsiteX20" fmla="*/ 204439 w 552914"/>
              <a:gd name="connsiteY20" fmla="*/ 37170 h 232317"/>
              <a:gd name="connsiteX21" fmla="*/ 181207 w 552914"/>
              <a:gd name="connsiteY21" fmla="*/ 4646 h 232317"/>
              <a:gd name="connsiteX22" fmla="*/ 102219 w 552914"/>
              <a:gd name="connsiteY22" fmla="*/ 18585 h 232317"/>
              <a:gd name="connsiteX23" fmla="*/ 18585 w 552914"/>
              <a:gd name="connsiteY23" fmla="*/ 0 h 2323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</a:cxnLst>
            <a:rect l="l" t="t" r="r" b="b"/>
            <a:pathLst>
              <a:path w="552914" h="232317">
                <a:moveTo>
                  <a:pt x="18585" y="0"/>
                </a:moveTo>
                <a:lnTo>
                  <a:pt x="55756" y="55756"/>
                </a:lnTo>
                <a:lnTo>
                  <a:pt x="0" y="111512"/>
                </a:lnTo>
                <a:lnTo>
                  <a:pt x="32524" y="130097"/>
                </a:lnTo>
                <a:lnTo>
                  <a:pt x="69695" y="167268"/>
                </a:lnTo>
                <a:lnTo>
                  <a:pt x="106866" y="195146"/>
                </a:lnTo>
                <a:lnTo>
                  <a:pt x="106866" y="195146"/>
                </a:lnTo>
                <a:lnTo>
                  <a:pt x="218378" y="218378"/>
                </a:lnTo>
                <a:lnTo>
                  <a:pt x="283427" y="232317"/>
                </a:lnTo>
                <a:lnTo>
                  <a:pt x="394939" y="227670"/>
                </a:lnTo>
                <a:lnTo>
                  <a:pt x="506451" y="204439"/>
                </a:lnTo>
                <a:lnTo>
                  <a:pt x="543622" y="171914"/>
                </a:lnTo>
                <a:lnTo>
                  <a:pt x="552914" y="139390"/>
                </a:lnTo>
                <a:lnTo>
                  <a:pt x="520390" y="97573"/>
                </a:lnTo>
                <a:lnTo>
                  <a:pt x="483219" y="88280"/>
                </a:lnTo>
                <a:lnTo>
                  <a:pt x="446049" y="65048"/>
                </a:lnTo>
                <a:lnTo>
                  <a:pt x="399585" y="65048"/>
                </a:lnTo>
                <a:lnTo>
                  <a:pt x="399585" y="65048"/>
                </a:lnTo>
                <a:lnTo>
                  <a:pt x="311305" y="41817"/>
                </a:lnTo>
                <a:lnTo>
                  <a:pt x="269488" y="32524"/>
                </a:lnTo>
                <a:lnTo>
                  <a:pt x="204439" y="37170"/>
                </a:lnTo>
                <a:lnTo>
                  <a:pt x="181207" y="4646"/>
                </a:lnTo>
                <a:lnTo>
                  <a:pt x="102219" y="18585"/>
                </a:lnTo>
                <a:lnTo>
                  <a:pt x="18585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2" name="Freeform 31"/>
          <xdr:cNvSpPr/>
        </xdr:nvSpPr>
        <xdr:spPr>
          <a:xfrm>
            <a:off x="3747174" y="5426927"/>
            <a:ext cx="116158" cy="60402"/>
          </a:xfrm>
          <a:custGeom>
            <a:avLst/>
            <a:gdLst>
              <a:gd name="connsiteX0" fmla="*/ 116158 w 116158"/>
              <a:gd name="connsiteY0" fmla="*/ 27878 h 60402"/>
              <a:gd name="connsiteX1" fmla="*/ 13939 w 116158"/>
              <a:gd name="connsiteY1" fmla="*/ 0 h 60402"/>
              <a:gd name="connsiteX2" fmla="*/ 0 w 116158"/>
              <a:gd name="connsiteY2" fmla="*/ 37171 h 60402"/>
              <a:gd name="connsiteX3" fmla="*/ 37170 w 116158"/>
              <a:gd name="connsiteY3" fmla="*/ 60402 h 60402"/>
              <a:gd name="connsiteX4" fmla="*/ 116158 w 116158"/>
              <a:gd name="connsiteY4" fmla="*/ 27878 h 604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6158" h="60402">
                <a:moveTo>
                  <a:pt x="116158" y="27878"/>
                </a:moveTo>
                <a:lnTo>
                  <a:pt x="13939" y="0"/>
                </a:lnTo>
                <a:lnTo>
                  <a:pt x="0" y="37171"/>
                </a:lnTo>
                <a:lnTo>
                  <a:pt x="37170" y="60402"/>
                </a:lnTo>
                <a:lnTo>
                  <a:pt x="116158" y="27878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3" name="Freeform 32"/>
          <xdr:cNvSpPr/>
        </xdr:nvSpPr>
        <xdr:spPr>
          <a:xfrm>
            <a:off x="3682125" y="5589549"/>
            <a:ext cx="190500" cy="139390"/>
          </a:xfrm>
          <a:custGeom>
            <a:avLst/>
            <a:gdLst>
              <a:gd name="connsiteX0" fmla="*/ 190500 w 190500"/>
              <a:gd name="connsiteY0" fmla="*/ 139390 h 139390"/>
              <a:gd name="connsiteX1" fmla="*/ 97573 w 190500"/>
              <a:gd name="connsiteY1" fmla="*/ 69695 h 139390"/>
              <a:gd name="connsiteX2" fmla="*/ 0 w 190500"/>
              <a:gd name="connsiteY2" fmla="*/ 46463 h 139390"/>
              <a:gd name="connsiteX3" fmla="*/ 18585 w 190500"/>
              <a:gd name="connsiteY3" fmla="*/ 9292 h 139390"/>
              <a:gd name="connsiteX4" fmla="*/ 69695 w 190500"/>
              <a:gd name="connsiteY4" fmla="*/ 0 h 139390"/>
              <a:gd name="connsiteX5" fmla="*/ 111512 w 190500"/>
              <a:gd name="connsiteY5" fmla="*/ 41817 h 139390"/>
              <a:gd name="connsiteX6" fmla="*/ 139390 w 190500"/>
              <a:gd name="connsiteY6" fmla="*/ 41817 h 139390"/>
              <a:gd name="connsiteX7" fmla="*/ 190500 w 190500"/>
              <a:gd name="connsiteY7" fmla="*/ 139390 h 1393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90500" h="139390">
                <a:moveTo>
                  <a:pt x="190500" y="139390"/>
                </a:moveTo>
                <a:lnTo>
                  <a:pt x="97573" y="69695"/>
                </a:lnTo>
                <a:lnTo>
                  <a:pt x="0" y="46463"/>
                </a:lnTo>
                <a:lnTo>
                  <a:pt x="18585" y="9292"/>
                </a:lnTo>
                <a:lnTo>
                  <a:pt x="69695" y="0"/>
                </a:lnTo>
                <a:lnTo>
                  <a:pt x="111512" y="41817"/>
                </a:lnTo>
                <a:lnTo>
                  <a:pt x="139390" y="41817"/>
                </a:lnTo>
                <a:lnTo>
                  <a:pt x="190500" y="13939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4" name="Freeform 33"/>
          <xdr:cNvSpPr/>
        </xdr:nvSpPr>
        <xdr:spPr>
          <a:xfrm>
            <a:off x="3928381" y="5882268"/>
            <a:ext cx="905632" cy="218378"/>
          </a:xfrm>
          <a:custGeom>
            <a:avLst/>
            <a:gdLst>
              <a:gd name="connsiteX0" fmla="*/ 167268 w 901390"/>
              <a:gd name="connsiteY0" fmla="*/ 0 h 218378"/>
              <a:gd name="connsiteX1" fmla="*/ 213732 w 901390"/>
              <a:gd name="connsiteY1" fmla="*/ 46464 h 218378"/>
              <a:gd name="connsiteX2" fmla="*/ 278780 w 901390"/>
              <a:gd name="connsiteY2" fmla="*/ 46464 h 218378"/>
              <a:gd name="connsiteX3" fmla="*/ 339183 w 901390"/>
              <a:gd name="connsiteY3" fmla="*/ 130098 h 218378"/>
              <a:gd name="connsiteX4" fmla="*/ 413524 w 901390"/>
              <a:gd name="connsiteY4" fmla="*/ 125452 h 218378"/>
              <a:gd name="connsiteX5" fmla="*/ 520390 w 901390"/>
              <a:gd name="connsiteY5" fmla="*/ 144037 h 218378"/>
              <a:gd name="connsiteX6" fmla="*/ 687658 w 901390"/>
              <a:gd name="connsiteY6" fmla="*/ 162622 h 218378"/>
              <a:gd name="connsiteX7" fmla="*/ 896744 w 901390"/>
              <a:gd name="connsiteY7" fmla="*/ 171915 h 218378"/>
              <a:gd name="connsiteX8" fmla="*/ 901390 w 901390"/>
              <a:gd name="connsiteY8" fmla="*/ 204439 h 218378"/>
              <a:gd name="connsiteX9" fmla="*/ 813110 w 901390"/>
              <a:gd name="connsiteY9" fmla="*/ 209086 h 218378"/>
              <a:gd name="connsiteX10" fmla="*/ 757353 w 901390"/>
              <a:gd name="connsiteY10" fmla="*/ 218378 h 218378"/>
              <a:gd name="connsiteX11" fmla="*/ 687658 w 901390"/>
              <a:gd name="connsiteY11" fmla="*/ 190500 h 218378"/>
              <a:gd name="connsiteX12" fmla="*/ 590085 w 901390"/>
              <a:gd name="connsiteY12" fmla="*/ 199793 h 218378"/>
              <a:gd name="connsiteX13" fmla="*/ 543622 w 901390"/>
              <a:gd name="connsiteY13" fmla="*/ 204439 h 218378"/>
              <a:gd name="connsiteX14" fmla="*/ 464634 w 901390"/>
              <a:gd name="connsiteY14" fmla="*/ 185854 h 218378"/>
              <a:gd name="connsiteX15" fmla="*/ 357768 w 901390"/>
              <a:gd name="connsiteY15" fmla="*/ 176561 h 218378"/>
              <a:gd name="connsiteX16" fmla="*/ 311305 w 901390"/>
              <a:gd name="connsiteY16" fmla="*/ 195147 h 218378"/>
              <a:gd name="connsiteX17" fmla="*/ 232317 w 901390"/>
              <a:gd name="connsiteY17" fmla="*/ 181208 h 218378"/>
              <a:gd name="connsiteX18" fmla="*/ 162622 w 901390"/>
              <a:gd name="connsiteY18" fmla="*/ 153330 h 218378"/>
              <a:gd name="connsiteX19" fmla="*/ 111512 w 901390"/>
              <a:gd name="connsiteY19" fmla="*/ 157976 h 218378"/>
              <a:gd name="connsiteX20" fmla="*/ 88280 w 901390"/>
              <a:gd name="connsiteY20" fmla="*/ 111512 h 218378"/>
              <a:gd name="connsiteX21" fmla="*/ 37171 w 901390"/>
              <a:gd name="connsiteY21" fmla="*/ 111512 h 218378"/>
              <a:gd name="connsiteX22" fmla="*/ 0 w 901390"/>
              <a:gd name="connsiteY22" fmla="*/ 83634 h 218378"/>
              <a:gd name="connsiteX23" fmla="*/ 78988 w 901390"/>
              <a:gd name="connsiteY23" fmla="*/ 41817 h 218378"/>
              <a:gd name="connsiteX24" fmla="*/ 120805 w 901390"/>
              <a:gd name="connsiteY24" fmla="*/ 65049 h 218378"/>
              <a:gd name="connsiteX25" fmla="*/ 144036 w 901390"/>
              <a:gd name="connsiteY25" fmla="*/ 88281 h 218378"/>
              <a:gd name="connsiteX26" fmla="*/ 181207 w 901390"/>
              <a:gd name="connsiteY26" fmla="*/ 102220 h 218378"/>
              <a:gd name="connsiteX27" fmla="*/ 204439 w 901390"/>
              <a:gd name="connsiteY27" fmla="*/ 88281 h 218378"/>
              <a:gd name="connsiteX28" fmla="*/ 195146 w 901390"/>
              <a:gd name="connsiteY28" fmla="*/ 60403 h 218378"/>
              <a:gd name="connsiteX29" fmla="*/ 167268 w 901390"/>
              <a:gd name="connsiteY29" fmla="*/ 0 h 2183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</a:cxnLst>
            <a:rect l="l" t="t" r="r" b="b"/>
            <a:pathLst>
              <a:path w="901390" h="218378">
                <a:moveTo>
                  <a:pt x="167268" y="0"/>
                </a:moveTo>
                <a:lnTo>
                  <a:pt x="213732" y="46464"/>
                </a:lnTo>
                <a:lnTo>
                  <a:pt x="278780" y="46464"/>
                </a:lnTo>
                <a:lnTo>
                  <a:pt x="339183" y="130098"/>
                </a:lnTo>
                <a:lnTo>
                  <a:pt x="413524" y="125452"/>
                </a:lnTo>
                <a:lnTo>
                  <a:pt x="520390" y="144037"/>
                </a:lnTo>
                <a:lnTo>
                  <a:pt x="687658" y="162622"/>
                </a:lnTo>
                <a:lnTo>
                  <a:pt x="896744" y="171915"/>
                </a:lnTo>
                <a:lnTo>
                  <a:pt x="901390" y="204439"/>
                </a:lnTo>
                <a:lnTo>
                  <a:pt x="813110" y="209086"/>
                </a:lnTo>
                <a:lnTo>
                  <a:pt x="757353" y="218378"/>
                </a:lnTo>
                <a:lnTo>
                  <a:pt x="687658" y="190500"/>
                </a:lnTo>
                <a:lnTo>
                  <a:pt x="590085" y="199793"/>
                </a:lnTo>
                <a:lnTo>
                  <a:pt x="543622" y="204439"/>
                </a:lnTo>
                <a:lnTo>
                  <a:pt x="464634" y="185854"/>
                </a:lnTo>
                <a:lnTo>
                  <a:pt x="357768" y="176561"/>
                </a:lnTo>
                <a:lnTo>
                  <a:pt x="311305" y="195147"/>
                </a:lnTo>
                <a:lnTo>
                  <a:pt x="232317" y="181208"/>
                </a:lnTo>
                <a:lnTo>
                  <a:pt x="162622" y="153330"/>
                </a:lnTo>
                <a:lnTo>
                  <a:pt x="111512" y="157976"/>
                </a:lnTo>
                <a:lnTo>
                  <a:pt x="88280" y="111512"/>
                </a:lnTo>
                <a:lnTo>
                  <a:pt x="37171" y="111512"/>
                </a:lnTo>
                <a:lnTo>
                  <a:pt x="0" y="83634"/>
                </a:lnTo>
                <a:lnTo>
                  <a:pt x="78988" y="41817"/>
                </a:lnTo>
                <a:lnTo>
                  <a:pt x="120805" y="65049"/>
                </a:lnTo>
                <a:lnTo>
                  <a:pt x="144036" y="88281"/>
                </a:lnTo>
                <a:lnTo>
                  <a:pt x="181207" y="102220"/>
                </a:lnTo>
                <a:lnTo>
                  <a:pt x="204439" y="88281"/>
                </a:lnTo>
                <a:lnTo>
                  <a:pt x="195146" y="60403"/>
                </a:lnTo>
                <a:lnTo>
                  <a:pt x="167268" y="0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35" name="Freeform 34"/>
          <xdr:cNvSpPr/>
        </xdr:nvSpPr>
        <xdr:spPr>
          <a:xfrm>
            <a:off x="3515261" y="6147110"/>
            <a:ext cx="222621" cy="116158"/>
          </a:xfrm>
          <a:custGeom>
            <a:avLst/>
            <a:gdLst>
              <a:gd name="connsiteX0" fmla="*/ 181207 w 181207"/>
              <a:gd name="connsiteY0" fmla="*/ 4646 h 116158"/>
              <a:gd name="connsiteX1" fmla="*/ 130097 w 181207"/>
              <a:gd name="connsiteY1" fmla="*/ 0 h 116158"/>
              <a:gd name="connsiteX2" fmla="*/ 9292 w 181207"/>
              <a:gd name="connsiteY2" fmla="*/ 18585 h 116158"/>
              <a:gd name="connsiteX3" fmla="*/ 0 w 181207"/>
              <a:gd name="connsiteY3" fmla="*/ 46463 h 116158"/>
              <a:gd name="connsiteX4" fmla="*/ 23231 w 181207"/>
              <a:gd name="connsiteY4" fmla="*/ 51110 h 116158"/>
              <a:gd name="connsiteX5" fmla="*/ 37171 w 181207"/>
              <a:gd name="connsiteY5" fmla="*/ 60402 h 116158"/>
              <a:gd name="connsiteX6" fmla="*/ 27878 w 181207"/>
              <a:gd name="connsiteY6" fmla="*/ 83634 h 116158"/>
              <a:gd name="connsiteX7" fmla="*/ 0 w 181207"/>
              <a:gd name="connsiteY7" fmla="*/ 102219 h 116158"/>
              <a:gd name="connsiteX8" fmla="*/ 23231 w 181207"/>
              <a:gd name="connsiteY8" fmla="*/ 116158 h 116158"/>
              <a:gd name="connsiteX9" fmla="*/ 65049 w 181207"/>
              <a:gd name="connsiteY9" fmla="*/ 111512 h 116158"/>
              <a:gd name="connsiteX10" fmla="*/ 116158 w 181207"/>
              <a:gd name="connsiteY10" fmla="*/ 83634 h 116158"/>
              <a:gd name="connsiteX11" fmla="*/ 157975 w 181207"/>
              <a:gd name="connsiteY11" fmla="*/ 83634 h 116158"/>
              <a:gd name="connsiteX12" fmla="*/ 181207 w 181207"/>
              <a:gd name="connsiteY12" fmla="*/ 92927 h 116158"/>
              <a:gd name="connsiteX13" fmla="*/ 181207 w 181207"/>
              <a:gd name="connsiteY13" fmla="*/ 4646 h 116158"/>
              <a:gd name="connsiteX0" fmla="*/ 181207 w 181207"/>
              <a:gd name="connsiteY0" fmla="*/ 4646 h 116158"/>
              <a:gd name="connsiteX1" fmla="*/ 130097 w 181207"/>
              <a:gd name="connsiteY1" fmla="*/ 0 h 116158"/>
              <a:gd name="connsiteX2" fmla="*/ 9292 w 181207"/>
              <a:gd name="connsiteY2" fmla="*/ 18585 h 116158"/>
              <a:gd name="connsiteX3" fmla="*/ 0 w 181207"/>
              <a:gd name="connsiteY3" fmla="*/ 46463 h 116158"/>
              <a:gd name="connsiteX4" fmla="*/ 23231 w 181207"/>
              <a:gd name="connsiteY4" fmla="*/ 51110 h 116158"/>
              <a:gd name="connsiteX5" fmla="*/ 37171 w 181207"/>
              <a:gd name="connsiteY5" fmla="*/ 60402 h 116158"/>
              <a:gd name="connsiteX6" fmla="*/ 27878 w 181207"/>
              <a:gd name="connsiteY6" fmla="*/ 83634 h 116158"/>
              <a:gd name="connsiteX7" fmla="*/ 0 w 181207"/>
              <a:gd name="connsiteY7" fmla="*/ 102219 h 116158"/>
              <a:gd name="connsiteX8" fmla="*/ 23231 w 181207"/>
              <a:gd name="connsiteY8" fmla="*/ 116158 h 116158"/>
              <a:gd name="connsiteX9" fmla="*/ 65049 w 181207"/>
              <a:gd name="connsiteY9" fmla="*/ 111512 h 116158"/>
              <a:gd name="connsiteX10" fmla="*/ 116158 w 181207"/>
              <a:gd name="connsiteY10" fmla="*/ 83634 h 116158"/>
              <a:gd name="connsiteX11" fmla="*/ 157975 w 181207"/>
              <a:gd name="connsiteY11" fmla="*/ 83634 h 116158"/>
              <a:gd name="connsiteX12" fmla="*/ 181207 w 181207"/>
              <a:gd name="connsiteY12" fmla="*/ 92927 h 116158"/>
              <a:gd name="connsiteX13" fmla="*/ 176561 w 181207"/>
              <a:gd name="connsiteY13" fmla="*/ 46463 h 116158"/>
              <a:gd name="connsiteX14" fmla="*/ 181207 w 181207"/>
              <a:gd name="connsiteY14" fmla="*/ 4646 h 116158"/>
              <a:gd name="connsiteX0" fmla="*/ 181207 w 218378"/>
              <a:gd name="connsiteY0" fmla="*/ 4646 h 116158"/>
              <a:gd name="connsiteX1" fmla="*/ 130097 w 218378"/>
              <a:gd name="connsiteY1" fmla="*/ 0 h 116158"/>
              <a:gd name="connsiteX2" fmla="*/ 9292 w 218378"/>
              <a:gd name="connsiteY2" fmla="*/ 18585 h 116158"/>
              <a:gd name="connsiteX3" fmla="*/ 0 w 218378"/>
              <a:gd name="connsiteY3" fmla="*/ 46463 h 116158"/>
              <a:gd name="connsiteX4" fmla="*/ 23231 w 218378"/>
              <a:gd name="connsiteY4" fmla="*/ 51110 h 116158"/>
              <a:gd name="connsiteX5" fmla="*/ 37171 w 218378"/>
              <a:gd name="connsiteY5" fmla="*/ 60402 h 116158"/>
              <a:gd name="connsiteX6" fmla="*/ 27878 w 218378"/>
              <a:gd name="connsiteY6" fmla="*/ 83634 h 116158"/>
              <a:gd name="connsiteX7" fmla="*/ 0 w 218378"/>
              <a:gd name="connsiteY7" fmla="*/ 102219 h 116158"/>
              <a:gd name="connsiteX8" fmla="*/ 23231 w 218378"/>
              <a:gd name="connsiteY8" fmla="*/ 116158 h 116158"/>
              <a:gd name="connsiteX9" fmla="*/ 65049 w 218378"/>
              <a:gd name="connsiteY9" fmla="*/ 111512 h 116158"/>
              <a:gd name="connsiteX10" fmla="*/ 116158 w 218378"/>
              <a:gd name="connsiteY10" fmla="*/ 83634 h 116158"/>
              <a:gd name="connsiteX11" fmla="*/ 157975 w 218378"/>
              <a:gd name="connsiteY11" fmla="*/ 83634 h 116158"/>
              <a:gd name="connsiteX12" fmla="*/ 181207 w 218378"/>
              <a:gd name="connsiteY12" fmla="*/ 92927 h 116158"/>
              <a:gd name="connsiteX13" fmla="*/ 218378 w 218378"/>
              <a:gd name="connsiteY13" fmla="*/ 37170 h 116158"/>
              <a:gd name="connsiteX14" fmla="*/ 181207 w 218378"/>
              <a:gd name="connsiteY14" fmla="*/ 4646 h 1161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218378" h="116158">
                <a:moveTo>
                  <a:pt x="181207" y="4646"/>
                </a:moveTo>
                <a:lnTo>
                  <a:pt x="130097" y="0"/>
                </a:lnTo>
                <a:lnTo>
                  <a:pt x="9292" y="18585"/>
                </a:lnTo>
                <a:lnTo>
                  <a:pt x="0" y="46463"/>
                </a:lnTo>
                <a:lnTo>
                  <a:pt x="23231" y="51110"/>
                </a:lnTo>
                <a:lnTo>
                  <a:pt x="37171" y="60402"/>
                </a:lnTo>
                <a:lnTo>
                  <a:pt x="27878" y="83634"/>
                </a:lnTo>
                <a:lnTo>
                  <a:pt x="0" y="102219"/>
                </a:lnTo>
                <a:lnTo>
                  <a:pt x="23231" y="116158"/>
                </a:lnTo>
                <a:lnTo>
                  <a:pt x="65049" y="111512"/>
                </a:lnTo>
                <a:lnTo>
                  <a:pt x="116158" y="83634"/>
                </a:lnTo>
                <a:lnTo>
                  <a:pt x="157975" y="83634"/>
                </a:lnTo>
                <a:lnTo>
                  <a:pt x="181207" y="92927"/>
                </a:lnTo>
                <a:lnTo>
                  <a:pt x="218378" y="37170"/>
                </a:lnTo>
                <a:lnTo>
                  <a:pt x="181207" y="4646"/>
                </a:lnTo>
                <a:close/>
              </a:path>
            </a:pathLst>
          </a:custGeom>
          <a:solidFill>
            <a:srgbClr val="B4C6E7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6</xdr:col>
      <xdr:colOff>91982</xdr:colOff>
      <xdr:row>24</xdr:row>
      <xdr:rowOff>41870</xdr:rowOff>
    </xdr:from>
    <xdr:to>
      <xdr:col>9</xdr:col>
      <xdr:colOff>297697</xdr:colOff>
      <xdr:row>28</xdr:row>
      <xdr:rowOff>123825</xdr:rowOff>
    </xdr:to>
    <xdr:grpSp>
      <xdr:nvGrpSpPr>
        <xdr:cNvPr id="23" name="Dubrovačko_neretvanska_županija"/>
        <xdr:cNvGrpSpPr/>
      </xdr:nvGrpSpPr>
      <xdr:grpSpPr>
        <a:xfrm>
          <a:off x="4578257" y="4880570"/>
          <a:ext cx="1491590" cy="843955"/>
          <a:chOff x="4195399" y="5965031"/>
          <a:chExt cx="2207574" cy="1244203"/>
        </a:xfrm>
        <a:solidFill>
          <a:schemeClr val="bg1">
            <a:lumMod val="65000"/>
          </a:schemeClr>
        </a:solidFill>
      </xdr:grpSpPr>
      <xdr:sp macro="" textlink="">
        <xdr:nvSpPr>
          <xdr:cNvPr id="25" name="Freeform 24"/>
          <xdr:cNvSpPr/>
        </xdr:nvSpPr>
        <xdr:spPr>
          <a:xfrm>
            <a:off x="5034273" y="5965031"/>
            <a:ext cx="440531" cy="422672"/>
          </a:xfrm>
          <a:custGeom>
            <a:avLst/>
            <a:gdLst>
              <a:gd name="connsiteX0" fmla="*/ 119062 w 440531"/>
              <a:gd name="connsiteY0" fmla="*/ 0 h 422672"/>
              <a:gd name="connsiteX1" fmla="*/ 250031 w 440531"/>
              <a:gd name="connsiteY1" fmla="*/ 107156 h 422672"/>
              <a:gd name="connsiteX2" fmla="*/ 369093 w 440531"/>
              <a:gd name="connsiteY2" fmla="*/ 160735 h 422672"/>
              <a:gd name="connsiteX3" fmla="*/ 392906 w 440531"/>
              <a:gd name="connsiteY3" fmla="*/ 232172 h 422672"/>
              <a:gd name="connsiteX4" fmla="*/ 440531 w 440531"/>
              <a:gd name="connsiteY4" fmla="*/ 339328 h 422672"/>
              <a:gd name="connsiteX5" fmla="*/ 357187 w 440531"/>
              <a:gd name="connsiteY5" fmla="*/ 404813 h 422672"/>
              <a:gd name="connsiteX6" fmla="*/ 279797 w 440531"/>
              <a:gd name="connsiteY6" fmla="*/ 422672 h 422672"/>
              <a:gd name="connsiteX7" fmla="*/ 238125 w 440531"/>
              <a:gd name="connsiteY7" fmla="*/ 416719 h 422672"/>
              <a:gd name="connsiteX8" fmla="*/ 148828 w 440531"/>
              <a:gd name="connsiteY8" fmla="*/ 309563 h 422672"/>
              <a:gd name="connsiteX9" fmla="*/ 190500 w 440531"/>
              <a:gd name="connsiteY9" fmla="*/ 261938 h 422672"/>
              <a:gd name="connsiteX10" fmla="*/ 166687 w 440531"/>
              <a:gd name="connsiteY10" fmla="*/ 250031 h 422672"/>
              <a:gd name="connsiteX11" fmla="*/ 119062 w 440531"/>
              <a:gd name="connsiteY11" fmla="*/ 273844 h 422672"/>
              <a:gd name="connsiteX12" fmla="*/ 101203 w 440531"/>
              <a:gd name="connsiteY12" fmla="*/ 208360 h 422672"/>
              <a:gd name="connsiteX13" fmla="*/ 65484 w 440531"/>
              <a:gd name="connsiteY13" fmla="*/ 232172 h 422672"/>
              <a:gd name="connsiteX14" fmla="*/ 0 w 440531"/>
              <a:gd name="connsiteY14" fmla="*/ 142875 h 422672"/>
              <a:gd name="connsiteX15" fmla="*/ 47625 w 440531"/>
              <a:gd name="connsiteY15" fmla="*/ 95250 h 422672"/>
              <a:gd name="connsiteX16" fmla="*/ 5953 w 440531"/>
              <a:gd name="connsiteY16" fmla="*/ 71438 h 422672"/>
              <a:gd name="connsiteX17" fmla="*/ 119062 w 440531"/>
              <a:gd name="connsiteY17" fmla="*/ 0 h 422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440531" h="422672">
                <a:moveTo>
                  <a:pt x="119062" y="0"/>
                </a:moveTo>
                <a:lnTo>
                  <a:pt x="250031" y="107156"/>
                </a:lnTo>
                <a:lnTo>
                  <a:pt x="369093" y="160735"/>
                </a:lnTo>
                <a:lnTo>
                  <a:pt x="392906" y="232172"/>
                </a:lnTo>
                <a:lnTo>
                  <a:pt x="440531" y="339328"/>
                </a:lnTo>
                <a:lnTo>
                  <a:pt x="357187" y="404813"/>
                </a:lnTo>
                <a:lnTo>
                  <a:pt x="279797" y="422672"/>
                </a:lnTo>
                <a:lnTo>
                  <a:pt x="238125" y="416719"/>
                </a:lnTo>
                <a:lnTo>
                  <a:pt x="148828" y="309563"/>
                </a:lnTo>
                <a:lnTo>
                  <a:pt x="190500" y="261938"/>
                </a:lnTo>
                <a:lnTo>
                  <a:pt x="166687" y="250031"/>
                </a:lnTo>
                <a:lnTo>
                  <a:pt x="119062" y="273844"/>
                </a:lnTo>
                <a:lnTo>
                  <a:pt x="101203" y="208360"/>
                </a:lnTo>
                <a:lnTo>
                  <a:pt x="65484" y="232172"/>
                </a:lnTo>
                <a:lnTo>
                  <a:pt x="0" y="142875"/>
                </a:lnTo>
                <a:lnTo>
                  <a:pt x="47625" y="95250"/>
                </a:lnTo>
                <a:lnTo>
                  <a:pt x="5953" y="71438"/>
                </a:lnTo>
                <a:lnTo>
                  <a:pt x="119062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26" name="Freeform 25"/>
          <xdr:cNvSpPr/>
        </xdr:nvSpPr>
        <xdr:spPr>
          <a:xfrm>
            <a:off x="4195399" y="6286500"/>
            <a:ext cx="612914" cy="154781"/>
          </a:xfrm>
          <a:custGeom>
            <a:avLst/>
            <a:gdLst>
              <a:gd name="connsiteX0" fmla="*/ 607219 w 607219"/>
              <a:gd name="connsiteY0" fmla="*/ 142875 h 154781"/>
              <a:gd name="connsiteX1" fmla="*/ 398860 w 607219"/>
              <a:gd name="connsiteY1" fmla="*/ 107156 h 154781"/>
              <a:gd name="connsiteX2" fmla="*/ 273844 w 607219"/>
              <a:gd name="connsiteY2" fmla="*/ 154781 h 154781"/>
              <a:gd name="connsiteX3" fmla="*/ 232172 w 607219"/>
              <a:gd name="connsiteY3" fmla="*/ 142875 h 154781"/>
              <a:gd name="connsiteX4" fmla="*/ 113110 w 607219"/>
              <a:gd name="connsiteY4" fmla="*/ 142875 h 154781"/>
              <a:gd name="connsiteX5" fmla="*/ 23813 w 607219"/>
              <a:gd name="connsiteY5" fmla="*/ 113109 h 154781"/>
              <a:gd name="connsiteX6" fmla="*/ 0 w 607219"/>
              <a:gd name="connsiteY6" fmla="*/ 101203 h 154781"/>
              <a:gd name="connsiteX7" fmla="*/ 77391 w 607219"/>
              <a:gd name="connsiteY7" fmla="*/ 59531 h 154781"/>
              <a:gd name="connsiteX8" fmla="*/ 0 w 607219"/>
              <a:gd name="connsiteY8" fmla="*/ 23812 h 154781"/>
              <a:gd name="connsiteX9" fmla="*/ 83344 w 607219"/>
              <a:gd name="connsiteY9" fmla="*/ 0 h 154781"/>
              <a:gd name="connsiteX10" fmla="*/ 166688 w 607219"/>
              <a:gd name="connsiteY10" fmla="*/ 53578 h 154781"/>
              <a:gd name="connsiteX11" fmla="*/ 261938 w 607219"/>
              <a:gd name="connsiteY11" fmla="*/ 77391 h 154781"/>
              <a:gd name="connsiteX12" fmla="*/ 351235 w 607219"/>
              <a:gd name="connsiteY12" fmla="*/ 29766 h 154781"/>
              <a:gd name="connsiteX13" fmla="*/ 494110 w 607219"/>
              <a:gd name="connsiteY13" fmla="*/ 53578 h 154781"/>
              <a:gd name="connsiteX14" fmla="*/ 589360 w 607219"/>
              <a:gd name="connsiteY14" fmla="*/ 59531 h 154781"/>
              <a:gd name="connsiteX15" fmla="*/ 607219 w 607219"/>
              <a:gd name="connsiteY15" fmla="*/ 142875 h 15478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607219" h="154781">
                <a:moveTo>
                  <a:pt x="607219" y="142875"/>
                </a:moveTo>
                <a:lnTo>
                  <a:pt x="398860" y="107156"/>
                </a:lnTo>
                <a:lnTo>
                  <a:pt x="273844" y="154781"/>
                </a:lnTo>
                <a:lnTo>
                  <a:pt x="232172" y="142875"/>
                </a:lnTo>
                <a:lnTo>
                  <a:pt x="113110" y="142875"/>
                </a:lnTo>
                <a:lnTo>
                  <a:pt x="23813" y="113109"/>
                </a:lnTo>
                <a:lnTo>
                  <a:pt x="0" y="101203"/>
                </a:lnTo>
                <a:lnTo>
                  <a:pt x="77391" y="59531"/>
                </a:lnTo>
                <a:lnTo>
                  <a:pt x="0" y="23812"/>
                </a:lnTo>
                <a:lnTo>
                  <a:pt x="83344" y="0"/>
                </a:lnTo>
                <a:lnTo>
                  <a:pt x="166688" y="53578"/>
                </a:lnTo>
                <a:lnTo>
                  <a:pt x="261938" y="77391"/>
                </a:lnTo>
                <a:lnTo>
                  <a:pt x="351235" y="29766"/>
                </a:lnTo>
                <a:lnTo>
                  <a:pt x="494110" y="53578"/>
                </a:lnTo>
                <a:lnTo>
                  <a:pt x="589360" y="59531"/>
                </a:lnTo>
                <a:lnTo>
                  <a:pt x="607219" y="142875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27" name="Freeform 26"/>
          <xdr:cNvSpPr/>
        </xdr:nvSpPr>
        <xdr:spPr>
          <a:xfrm>
            <a:off x="4373735" y="6655594"/>
            <a:ext cx="166687" cy="77390"/>
          </a:xfrm>
          <a:custGeom>
            <a:avLst/>
            <a:gdLst>
              <a:gd name="connsiteX0" fmla="*/ 166687 w 166687"/>
              <a:gd name="connsiteY0" fmla="*/ 5953 h 77390"/>
              <a:gd name="connsiteX1" fmla="*/ 0 w 166687"/>
              <a:gd name="connsiteY1" fmla="*/ 0 h 77390"/>
              <a:gd name="connsiteX2" fmla="*/ 47625 w 166687"/>
              <a:gd name="connsiteY2" fmla="*/ 59531 h 77390"/>
              <a:gd name="connsiteX3" fmla="*/ 107156 w 166687"/>
              <a:gd name="connsiteY3" fmla="*/ 71437 h 77390"/>
              <a:gd name="connsiteX4" fmla="*/ 160734 w 166687"/>
              <a:gd name="connsiteY4" fmla="*/ 77390 h 77390"/>
              <a:gd name="connsiteX5" fmla="*/ 166687 w 166687"/>
              <a:gd name="connsiteY5" fmla="*/ 5953 h 773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66687" h="77390">
                <a:moveTo>
                  <a:pt x="166687" y="5953"/>
                </a:moveTo>
                <a:lnTo>
                  <a:pt x="0" y="0"/>
                </a:lnTo>
                <a:lnTo>
                  <a:pt x="47625" y="59531"/>
                </a:lnTo>
                <a:lnTo>
                  <a:pt x="107156" y="71437"/>
                </a:lnTo>
                <a:lnTo>
                  <a:pt x="160734" y="77390"/>
                </a:lnTo>
                <a:lnTo>
                  <a:pt x="166687" y="5953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28" name="Freeform 27"/>
          <xdr:cNvSpPr/>
        </xdr:nvSpPr>
        <xdr:spPr>
          <a:xfrm>
            <a:off x="4623766" y="6203156"/>
            <a:ext cx="1779207" cy="1006078"/>
          </a:xfrm>
          <a:custGeom>
            <a:avLst/>
            <a:gdLst>
              <a:gd name="connsiteX0" fmla="*/ 11906 w 1762125"/>
              <a:gd name="connsiteY0" fmla="*/ 0 h 1006078"/>
              <a:gd name="connsiteX1" fmla="*/ 0 w 1762125"/>
              <a:gd name="connsiteY1" fmla="*/ 53578 h 1006078"/>
              <a:gd name="connsiteX2" fmla="*/ 190500 w 1762125"/>
              <a:gd name="connsiteY2" fmla="*/ 130969 h 1006078"/>
              <a:gd name="connsiteX3" fmla="*/ 244078 w 1762125"/>
              <a:gd name="connsiteY3" fmla="*/ 107156 h 1006078"/>
              <a:gd name="connsiteX4" fmla="*/ 458391 w 1762125"/>
              <a:gd name="connsiteY4" fmla="*/ 232172 h 1006078"/>
              <a:gd name="connsiteX5" fmla="*/ 494110 w 1762125"/>
              <a:gd name="connsiteY5" fmla="*/ 220266 h 1006078"/>
              <a:gd name="connsiteX6" fmla="*/ 541735 w 1762125"/>
              <a:gd name="connsiteY6" fmla="*/ 255985 h 1006078"/>
              <a:gd name="connsiteX7" fmla="*/ 529828 w 1762125"/>
              <a:gd name="connsiteY7" fmla="*/ 291703 h 1006078"/>
              <a:gd name="connsiteX8" fmla="*/ 863203 w 1762125"/>
              <a:gd name="connsiteY8" fmla="*/ 410766 h 1006078"/>
              <a:gd name="connsiteX9" fmla="*/ 851297 w 1762125"/>
              <a:gd name="connsiteY9" fmla="*/ 369094 h 1006078"/>
              <a:gd name="connsiteX10" fmla="*/ 910828 w 1762125"/>
              <a:gd name="connsiteY10" fmla="*/ 404813 h 1006078"/>
              <a:gd name="connsiteX11" fmla="*/ 970360 w 1762125"/>
              <a:gd name="connsiteY11" fmla="*/ 392906 h 1006078"/>
              <a:gd name="connsiteX12" fmla="*/ 1047750 w 1762125"/>
              <a:gd name="connsiteY12" fmla="*/ 440531 h 1006078"/>
              <a:gd name="connsiteX13" fmla="*/ 1101328 w 1762125"/>
              <a:gd name="connsiteY13" fmla="*/ 500063 h 1006078"/>
              <a:gd name="connsiteX14" fmla="*/ 1184672 w 1762125"/>
              <a:gd name="connsiteY14" fmla="*/ 565547 h 1006078"/>
              <a:gd name="connsiteX15" fmla="*/ 1184672 w 1762125"/>
              <a:gd name="connsiteY15" fmla="*/ 565547 h 1006078"/>
              <a:gd name="connsiteX16" fmla="*/ 1291828 w 1762125"/>
              <a:gd name="connsiteY16" fmla="*/ 648891 h 1006078"/>
              <a:gd name="connsiteX17" fmla="*/ 1387078 w 1762125"/>
              <a:gd name="connsiteY17" fmla="*/ 690563 h 1006078"/>
              <a:gd name="connsiteX18" fmla="*/ 1440656 w 1762125"/>
              <a:gd name="connsiteY18" fmla="*/ 762000 h 1006078"/>
              <a:gd name="connsiteX19" fmla="*/ 1541860 w 1762125"/>
              <a:gd name="connsiteY19" fmla="*/ 863203 h 1006078"/>
              <a:gd name="connsiteX20" fmla="*/ 1649016 w 1762125"/>
              <a:gd name="connsiteY20" fmla="*/ 952500 h 1006078"/>
              <a:gd name="connsiteX21" fmla="*/ 1684735 w 1762125"/>
              <a:gd name="connsiteY21" fmla="*/ 994172 h 1006078"/>
              <a:gd name="connsiteX22" fmla="*/ 1762125 w 1762125"/>
              <a:gd name="connsiteY22" fmla="*/ 1006078 h 1006078"/>
              <a:gd name="connsiteX23" fmla="*/ 1696641 w 1762125"/>
              <a:gd name="connsiteY23" fmla="*/ 922735 h 1006078"/>
              <a:gd name="connsiteX24" fmla="*/ 1696641 w 1762125"/>
              <a:gd name="connsiteY24" fmla="*/ 809625 h 1006078"/>
              <a:gd name="connsiteX25" fmla="*/ 1613297 w 1762125"/>
              <a:gd name="connsiteY25" fmla="*/ 696516 h 1006078"/>
              <a:gd name="connsiteX26" fmla="*/ 1476375 w 1762125"/>
              <a:gd name="connsiteY26" fmla="*/ 720328 h 1006078"/>
              <a:gd name="connsiteX27" fmla="*/ 1387078 w 1762125"/>
              <a:gd name="connsiteY27" fmla="*/ 642938 h 1006078"/>
              <a:gd name="connsiteX28" fmla="*/ 1315641 w 1762125"/>
              <a:gd name="connsiteY28" fmla="*/ 583406 h 1006078"/>
              <a:gd name="connsiteX29" fmla="*/ 1220391 w 1762125"/>
              <a:gd name="connsiteY29" fmla="*/ 488156 h 1006078"/>
              <a:gd name="connsiteX30" fmla="*/ 1148953 w 1762125"/>
              <a:gd name="connsiteY30" fmla="*/ 440531 h 1006078"/>
              <a:gd name="connsiteX31" fmla="*/ 1077516 w 1762125"/>
              <a:gd name="connsiteY31" fmla="*/ 392906 h 1006078"/>
              <a:gd name="connsiteX32" fmla="*/ 1047750 w 1762125"/>
              <a:gd name="connsiteY32" fmla="*/ 392906 h 1006078"/>
              <a:gd name="connsiteX33" fmla="*/ 1029891 w 1762125"/>
              <a:gd name="connsiteY33" fmla="*/ 327422 h 1006078"/>
              <a:gd name="connsiteX34" fmla="*/ 988219 w 1762125"/>
              <a:gd name="connsiteY34" fmla="*/ 267891 h 1006078"/>
              <a:gd name="connsiteX35" fmla="*/ 988219 w 1762125"/>
              <a:gd name="connsiteY35" fmla="*/ 214313 h 1006078"/>
              <a:gd name="connsiteX36" fmla="*/ 946547 w 1762125"/>
              <a:gd name="connsiteY36" fmla="*/ 202406 h 1006078"/>
              <a:gd name="connsiteX37" fmla="*/ 898922 w 1762125"/>
              <a:gd name="connsiteY37" fmla="*/ 232172 h 1006078"/>
              <a:gd name="connsiteX38" fmla="*/ 827485 w 1762125"/>
              <a:gd name="connsiteY38" fmla="*/ 202406 h 1006078"/>
              <a:gd name="connsiteX39" fmla="*/ 767953 w 1762125"/>
              <a:gd name="connsiteY39" fmla="*/ 232172 h 1006078"/>
              <a:gd name="connsiteX40" fmla="*/ 797719 w 1762125"/>
              <a:gd name="connsiteY40" fmla="*/ 285750 h 1006078"/>
              <a:gd name="connsiteX41" fmla="*/ 821531 w 1762125"/>
              <a:gd name="connsiteY41" fmla="*/ 297656 h 1006078"/>
              <a:gd name="connsiteX42" fmla="*/ 803672 w 1762125"/>
              <a:gd name="connsiteY42" fmla="*/ 315516 h 1006078"/>
              <a:gd name="connsiteX43" fmla="*/ 732235 w 1762125"/>
              <a:gd name="connsiteY43" fmla="*/ 273844 h 1006078"/>
              <a:gd name="connsiteX44" fmla="*/ 619125 w 1762125"/>
              <a:gd name="connsiteY44" fmla="*/ 220266 h 1006078"/>
              <a:gd name="connsiteX45" fmla="*/ 559594 w 1762125"/>
              <a:gd name="connsiteY45" fmla="*/ 214313 h 1006078"/>
              <a:gd name="connsiteX46" fmla="*/ 500063 w 1762125"/>
              <a:gd name="connsiteY46" fmla="*/ 172641 h 1006078"/>
              <a:gd name="connsiteX47" fmla="*/ 392906 w 1762125"/>
              <a:gd name="connsiteY47" fmla="*/ 101203 h 1006078"/>
              <a:gd name="connsiteX48" fmla="*/ 291703 w 1762125"/>
              <a:gd name="connsiteY48" fmla="*/ 65485 h 1006078"/>
              <a:gd name="connsiteX49" fmla="*/ 166688 w 1762125"/>
              <a:gd name="connsiteY49" fmla="*/ 47625 h 1006078"/>
              <a:gd name="connsiteX50" fmla="*/ 65485 w 1762125"/>
              <a:gd name="connsiteY50" fmla="*/ 47625 h 1006078"/>
              <a:gd name="connsiteX51" fmla="*/ 11906 w 1762125"/>
              <a:gd name="connsiteY51" fmla="*/ 0 h 10060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1762125" h="1006078">
                <a:moveTo>
                  <a:pt x="11906" y="0"/>
                </a:moveTo>
                <a:lnTo>
                  <a:pt x="0" y="53578"/>
                </a:lnTo>
                <a:lnTo>
                  <a:pt x="190500" y="130969"/>
                </a:lnTo>
                <a:lnTo>
                  <a:pt x="244078" y="107156"/>
                </a:lnTo>
                <a:lnTo>
                  <a:pt x="458391" y="232172"/>
                </a:lnTo>
                <a:lnTo>
                  <a:pt x="494110" y="220266"/>
                </a:lnTo>
                <a:lnTo>
                  <a:pt x="541735" y="255985"/>
                </a:lnTo>
                <a:lnTo>
                  <a:pt x="529828" y="291703"/>
                </a:lnTo>
                <a:lnTo>
                  <a:pt x="863203" y="410766"/>
                </a:lnTo>
                <a:lnTo>
                  <a:pt x="851297" y="369094"/>
                </a:lnTo>
                <a:lnTo>
                  <a:pt x="910828" y="404813"/>
                </a:lnTo>
                <a:lnTo>
                  <a:pt x="970360" y="392906"/>
                </a:lnTo>
                <a:lnTo>
                  <a:pt x="1047750" y="440531"/>
                </a:lnTo>
                <a:lnTo>
                  <a:pt x="1101328" y="500063"/>
                </a:lnTo>
                <a:lnTo>
                  <a:pt x="1184672" y="565547"/>
                </a:lnTo>
                <a:lnTo>
                  <a:pt x="1184672" y="565547"/>
                </a:lnTo>
                <a:lnTo>
                  <a:pt x="1291828" y="648891"/>
                </a:lnTo>
                <a:lnTo>
                  <a:pt x="1387078" y="690563"/>
                </a:lnTo>
                <a:lnTo>
                  <a:pt x="1440656" y="762000"/>
                </a:lnTo>
                <a:lnTo>
                  <a:pt x="1541860" y="863203"/>
                </a:lnTo>
                <a:lnTo>
                  <a:pt x="1649016" y="952500"/>
                </a:lnTo>
                <a:lnTo>
                  <a:pt x="1684735" y="994172"/>
                </a:lnTo>
                <a:lnTo>
                  <a:pt x="1762125" y="1006078"/>
                </a:lnTo>
                <a:lnTo>
                  <a:pt x="1696641" y="922735"/>
                </a:lnTo>
                <a:lnTo>
                  <a:pt x="1696641" y="809625"/>
                </a:lnTo>
                <a:lnTo>
                  <a:pt x="1613297" y="696516"/>
                </a:lnTo>
                <a:lnTo>
                  <a:pt x="1476375" y="720328"/>
                </a:lnTo>
                <a:lnTo>
                  <a:pt x="1387078" y="642938"/>
                </a:lnTo>
                <a:lnTo>
                  <a:pt x="1315641" y="583406"/>
                </a:lnTo>
                <a:lnTo>
                  <a:pt x="1220391" y="488156"/>
                </a:lnTo>
                <a:lnTo>
                  <a:pt x="1148953" y="440531"/>
                </a:lnTo>
                <a:lnTo>
                  <a:pt x="1077516" y="392906"/>
                </a:lnTo>
                <a:lnTo>
                  <a:pt x="1047750" y="392906"/>
                </a:lnTo>
                <a:lnTo>
                  <a:pt x="1029891" y="327422"/>
                </a:lnTo>
                <a:lnTo>
                  <a:pt x="988219" y="267891"/>
                </a:lnTo>
                <a:lnTo>
                  <a:pt x="988219" y="214313"/>
                </a:lnTo>
                <a:lnTo>
                  <a:pt x="946547" y="202406"/>
                </a:lnTo>
                <a:lnTo>
                  <a:pt x="898922" y="232172"/>
                </a:lnTo>
                <a:lnTo>
                  <a:pt x="827485" y="202406"/>
                </a:lnTo>
                <a:lnTo>
                  <a:pt x="767953" y="232172"/>
                </a:lnTo>
                <a:lnTo>
                  <a:pt x="797719" y="285750"/>
                </a:lnTo>
                <a:lnTo>
                  <a:pt x="821531" y="297656"/>
                </a:lnTo>
                <a:lnTo>
                  <a:pt x="803672" y="315516"/>
                </a:lnTo>
                <a:lnTo>
                  <a:pt x="732235" y="273844"/>
                </a:lnTo>
                <a:lnTo>
                  <a:pt x="619125" y="220266"/>
                </a:lnTo>
                <a:lnTo>
                  <a:pt x="559594" y="214313"/>
                </a:lnTo>
                <a:lnTo>
                  <a:pt x="500063" y="172641"/>
                </a:lnTo>
                <a:lnTo>
                  <a:pt x="392906" y="101203"/>
                </a:lnTo>
                <a:lnTo>
                  <a:pt x="291703" y="65485"/>
                </a:lnTo>
                <a:lnTo>
                  <a:pt x="166688" y="47625"/>
                </a:lnTo>
                <a:lnTo>
                  <a:pt x="65485" y="47625"/>
                </a:lnTo>
                <a:lnTo>
                  <a:pt x="11906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  <xdr:sp macro="" textlink="">
        <xdr:nvSpPr>
          <xdr:cNvPr id="29" name="Freeform 28"/>
          <xdr:cNvSpPr/>
        </xdr:nvSpPr>
        <xdr:spPr>
          <a:xfrm>
            <a:off x="5004507" y="6602016"/>
            <a:ext cx="488156" cy="184546"/>
          </a:xfrm>
          <a:custGeom>
            <a:avLst/>
            <a:gdLst>
              <a:gd name="connsiteX0" fmla="*/ 35719 w 488156"/>
              <a:gd name="connsiteY0" fmla="*/ 0 h 184546"/>
              <a:gd name="connsiteX1" fmla="*/ 0 w 488156"/>
              <a:gd name="connsiteY1" fmla="*/ 47625 h 184546"/>
              <a:gd name="connsiteX2" fmla="*/ 482203 w 488156"/>
              <a:gd name="connsiteY2" fmla="*/ 184546 h 184546"/>
              <a:gd name="connsiteX3" fmla="*/ 488156 w 488156"/>
              <a:gd name="connsiteY3" fmla="*/ 148828 h 184546"/>
              <a:gd name="connsiteX4" fmla="*/ 35719 w 488156"/>
              <a:gd name="connsiteY4" fmla="*/ 0 h 1845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88156" h="184546">
                <a:moveTo>
                  <a:pt x="35719" y="0"/>
                </a:moveTo>
                <a:lnTo>
                  <a:pt x="0" y="47625"/>
                </a:lnTo>
                <a:lnTo>
                  <a:pt x="482203" y="184546"/>
                </a:lnTo>
                <a:lnTo>
                  <a:pt x="488156" y="148828"/>
                </a:lnTo>
                <a:lnTo>
                  <a:pt x="35719" y="0"/>
                </a:lnTo>
                <a:close/>
              </a:path>
            </a:pathLst>
          </a:custGeom>
          <a:solidFill>
            <a:srgbClr val="30549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hr-HR" sz="1100"/>
          </a:p>
        </xdr:txBody>
      </xdr:sp>
    </xdr:grpSp>
    <xdr:clientData/>
  </xdr:twoCellAnchor>
  <xdr:twoCellAnchor editAs="absolute">
    <xdr:from>
      <xdr:col>5</xdr:col>
      <xdr:colOff>37987</xdr:colOff>
      <xdr:row>7</xdr:row>
      <xdr:rowOff>168472</xdr:rowOff>
    </xdr:from>
    <xdr:to>
      <xdr:col>5</xdr:col>
      <xdr:colOff>395585</xdr:colOff>
      <xdr:row>9</xdr:row>
      <xdr:rowOff>179164</xdr:rowOff>
    </xdr:to>
    <xdr:sp macro="" textlink="">
      <xdr:nvSpPr>
        <xdr:cNvPr id="24" name="Grad_Zagreb"/>
        <xdr:cNvSpPr/>
      </xdr:nvSpPr>
      <xdr:spPr>
        <a:xfrm>
          <a:off x="3914662" y="1759147"/>
          <a:ext cx="357598" cy="391692"/>
        </a:xfrm>
        <a:custGeom>
          <a:avLst/>
          <a:gdLst>
            <a:gd name="connsiteX0" fmla="*/ 422672 w 523875"/>
            <a:gd name="connsiteY0" fmla="*/ 0 h 577453"/>
            <a:gd name="connsiteX1" fmla="*/ 220266 w 523875"/>
            <a:gd name="connsiteY1" fmla="*/ 89297 h 577453"/>
            <a:gd name="connsiteX2" fmla="*/ 178594 w 523875"/>
            <a:gd name="connsiteY2" fmla="*/ 130969 h 577453"/>
            <a:gd name="connsiteX3" fmla="*/ 71438 w 523875"/>
            <a:gd name="connsiteY3" fmla="*/ 220265 h 577453"/>
            <a:gd name="connsiteX4" fmla="*/ 47625 w 523875"/>
            <a:gd name="connsiteY4" fmla="*/ 244078 h 577453"/>
            <a:gd name="connsiteX5" fmla="*/ 83344 w 523875"/>
            <a:gd name="connsiteY5" fmla="*/ 315515 h 577453"/>
            <a:gd name="connsiteX6" fmla="*/ 125016 w 523875"/>
            <a:gd name="connsiteY6" fmla="*/ 351234 h 577453"/>
            <a:gd name="connsiteX7" fmla="*/ 89297 w 523875"/>
            <a:gd name="connsiteY7" fmla="*/ 404812 h 577453"/>
            <a:gd name="connsiteX8" fmla="*/ 35719 w 523875"/>
            <a:gd name="connsiteY8" fmla="*/ 416719 h 577453"/>
            <a:gd name="connsiteX9" fmla="*/ 5954 w 523875"/>
            <a:gd name="connsiteY9" fmla="*/ 434578 h 577453"/>
            <a:gd name="connsiteX10" fmla="*/ 0 w 523875"/>
            <a:gd name="connsiteY10" fmla="*/ 482203 h 577453"/>
            <a:gd name="connsiteX11" fmla="*/ 119063 w 523875"/>
            <a:gd name="connsiteY11" fmla="*/ 523875 h 577453"/>
            <a:gd name="connsiteX12" fmla="*/ 136922 w 523875"/>
            <a:gd name="connsiteY12" fmla="*/ 577453 h 577453"/>
            <a:gd name="connsiteX13" fmla="*/ 202407 w 523875"/>
            <a:gd name="connsiteY13" fmla="*/ 559594 h 577453"/>
            <a:gd name="connsiteX14" fmla="*/ 250032 w 523875"/>
            <a:gd name="connsiteY14" fmla="*/ 410765 h 577453"/>
            <a:gd name="connsiteX15" fmla="*/ 297657 w 523875"/>
            <a:gd name="connsiteY15" fmla="*/ 351234 h 577453"/>
            <a:gd name="connsiteX16" fmla="*/ 428625 w 523875"/>
            <a:gd name="connsiteY16" fmla="*/ 255984 h 577453"/>
            <a:gd name="connsiteX17" fmla="*/ 494110 w 523875"/>
            <a:gd name="connsiteY17" fmla="*/ 315515 h 577453"/>
            <a:gd name="connsiteX18" fmla="*/ 500063 w 523875"/>
            <a:gd name="connsiteY18" fmla="*/ 232172 h 577453"/>
            <a:gd name="connsiteX19" fmla="*/ 523875 w 523875"/>
            <a:gd name="connsiteY19" fmla="*/ 196453 h 577453"/>
            <a:gd name="connsiteX20" fmla="*/ 440532 w 523875"/>
            <a:gd name="connsiteY20" fmla="*/ 125015 h 577453"/>
            <a:gd name="connsiteX21" fmla="*/ 422672 w 523875"/>
            <a:gd name="connsiteY21" fmla="*/ 0 h 5774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</a:cxnLst>
          <a:rect l="l" t="t" r="r" b="b"/>
          <a:pathLst>
            <a:path w="523875" h="577453">
              <a:moveTo>
                <a:pt x="422672" y="0"/>
              </a:moveTo>
              <a:lnTo>
                <a:pt x="220266" y="89297"/>
              </a:lnTo>
              <a:lnTo>
                <a:pt x="178594" y="130969"/>
              </a:lnTo>
              <a:lnTo>
                <a:pt x="71438" y="220265"/>
              </a:lnTo>
              <a:lnTo>
                <a:pt x="47625" y="244078"/>
              </a:lnTo>
              <a:lnTo>
                <a:pt x="83344" y="315515"/>
              </a:lnTo>
              <a:lnTo>
                <a:pt x="125016" y="351234"/>
              </a:lnTo>
              <a:lnTo>
                <a:pt x="89297" y="404812"/>
              </a:lnTo>
              <a:lnTo>
                <a:pt x="35719" y="416719"/>
              </a:lnTo>
              <a:lnTo>
                <a:pt x="5954" y="434578"/>
              </a:lnTo>
              <a:lnTo>
                <a:pt x="0" y="482203"/>
              </a:lnTo>
              <a:lnTo>
                <a:pt x="119063" y="523875"/>
              </a:lnTo>
              <a:lnTo>
                <a:pt x="136922" y="577453"/>
              </a:lnTo>
              <a:lnTo>
                <a:pt x="202407" y="559594"/>
              </a:lnTo>
              <a:lnTo>
                <a:pt x="250032" y="410765"/>
              </a:lnTo>
              <a:lnTo>
                <a:pt x="297657" y="351234"/>
              </a:lnTo>
              <a:lnTo>
                <a:pt x="428625" y="255984"/>
              </a:lnTo>
              <a:lnTo>
                <a:pt x="494110" y="315515"/>
              </a:lnTo>
              <a:lnTo>
                <a:pt x="500063" y="232172"/>
              </a:lnTo>
              <a:lnTo>
                <a:pt x="523875" y="196453"/>
              </a:lnTo>
              <a:lnTo>
                <a:pt x="440532" y="125015"/>
              </a:lnTo>
              <a:lnTo>
                <a:pt x="422672" y="0"/>
              </a:lnTo>
              <a:close/>
            </a:path>
          </a:pathLst>
        </a:custGeom>
        <a:solidFill>
          <a:srgbClr val="203764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85725</xdr:rowOff>
        </xdr:from>
        <xdr:to>
          <xdr:col>2</xdr:col>
          <xdr:colOff>371475</xdr:colOff>
          <xdr:row>6</xdr:row>
          <xdr:rowOff>95250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lancije.ne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-0.499984740745262"/>
    <pageSetUpPr fitToPage="1"/>
  </sheetPr>
  <dimension ref="B1:M31"/>
  <sheetViews>
    <sheetView showGridLines="0" tabSelected="1" zoomScaleNormal="100" workbookViewId="0">
      <selection activeCell="P16" sqref="P16"/>
    </sheetView>
  </sheetViews>
  <sheetFormatPr defaultRowHeight="15" x14ac:dyDescent="0.25"/>
  <cols>
    <col min="1" max="1" width="8.28515625" customWidth="1"/>
    <col min="2" max="2" width="22.7109375" customWidth="1"/>
    <col min="3" max="3" width="8.85546875" bestFit="1" customWidth="1"/>
    <col min="4" max="5" width="9.140625" customWidth="1"/>
    <col min="7" max="7" width="3.85546875" customWidth="1"/>
    <col min="8" max="8" width="12.140625" customWidth="1"/>
    <col min="9" max="9" width="3.28515625" customWidth="1"/>
    <col min="10" max="10" width="16.42578125" customWidth="1"/>
    <col min="11" max="11" width="20.140625" bestFit="1" customWidth="1"/>
    <col min="12" max="12" width="9.140625" customWidth="1"/>
    <col min="13" max="13" width="11.28515625" customWidth="1"/>
  </cols>
  <sheetData>
    <row r="1" spans="2:13" ht="15.75" thickBot="1" x14ac:dyDescent="0.3"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2:13" ht="6" customHeight="1" x14ac:dyDescent="0.25"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</row>
    <row r="3" spans="2:13" ht="23.25" x14ac:dyDescent="0.35">
      <c r="B3" s="36" t="s">
        <v>106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2:13" ht="20.25" x14ac:dyDescent="0.35">
      <c r="B4" s="24"/>
    </row>
    <row r="5" spans="2:13" ht="16.5" x14ac:dyDescent="0.25">
      <c r="B5" s="23" t="s">
        <v>94</v>
      </c>
    </row>
    <row r="7" spans="2:13" ht="28.5" customHeight="1" x14ac:dyDescent="0.25">
      <c r="C7" s="19"/>
      <c r="K7" s="51" t="s">
        <v>10</v>
      </c>
      <c r="L7" s="53" t="str">
        <f>INDEX(Lista,Model!D11)&amp;" *"</f>
        <v>BDP po glavi stanovnika (kn) *</v>
      </c>
      <c r="M7" s="53"/>
    </row>
    <row r="8" spans="2:13" x14ac:dyDescent="0.25">
      <c r="B8" s="19"/>
      <c r="C8" s="19"/>
      <c r="K8" s="32" t="s">
        <v>9</v>
      </c>
      <c r="L8" s="33" t="str">
        <f>TEXT(VLOOKUP(K8,data1,Model!$D$11+1,FALSE),INDEX(Data!$D$39:$J$39,Model!$D$11))</f>
        <v>135.853</v>
      </c>
      <c r="M8" s="39">
        <f>VALUE(L8)</f>
        <v>135853</v>
      </c>
    </row>
    <row r="9" spans="2:13" x14ac:dyDescent="0.25">
      <c r="K9" s="30" t="s">
        <v>52</v>
      </c>
      <c r="L9" s="31" t="str">
        <f>TEXT(VLOOKUP(K9,data1,Model!$D$11+1,FALSE),INDEX(Data!$D$39:$J$39,Model!$D$11))</f>
        <v>93.968</v>
      </c>
      <c r="M9" s="38">
        <f>VALUE(L9)</f>
        <v>93968</v>
      </c>
    </row>
    <row r="10" spans="2:13" x14ac:dyDescent="0.25">
      <c r="K10" s="30" t="s">
        <v>42</v>
      </c>
      <c r="L10" s="31" t="str">
        <f>TEXT(VLOOKUP(K10,data1,Model!$D$11+1,FALSE),INDEX(Data!$D$39:$J$39,Model!$D$11))</f>
        <v>89.935</v>
      </c>
      <c r="M10" s="38">
        <f>VALUE(L10)</f>
        <v>89935</v>
      </c>
    </row>
    <row r="11" spans="2:13" x14ac:dyDescent="0.25">
      <c r="K11" s="30" t="s">
        <v>53</v>
      </c>
      <c r="L11" s="31" t="str">
        <f>TEXT(VLOOKUP(K11,data1,Model!$D$11+1,FALSE),INDEX(Data!$D$39:$J$39,Model!$D$11))</f>
        <v>76.189</v>
      </c>
      <c r="M11" s="38">
        <f>VALUE(L11)</f>
        <v>76189</v>
      </c>
    </row>
    <row r="12" spans="2:13" x14ac:dyDescent="0.25">
      <c r="K12" s="30" t="s">
        <v>37</v>
      </c>
      <c r="L12" s="31" t="str">
        <f>TEXT(VLOOKUP(K12,data1,Model!$D$11+1,FALSE),INDEX(Data!$D$39:$J$39,Model!$D$11))</f>
        <v>60.924</v>
      </c>
      <c r="M12" s="38">
        <f>VALUE(L12)</f>
        <v>60924</v>
      </c>
    </row>
    <row r="13" spans="2:13" x14ac:dyDescent="0.25">
      <c r="K13" s="32" t="s">
        <v>43</v>
      </c>
      <c r="L13" s="33" t="str">
        <f>TEXT(VLOOKUP(K13,data1,Model!$D$11+1,FALSE),INDEX(Data!$D$39:$J$39,Model!$D$11))</f>
        <v>60.315</v>
      </c>
      <c r="M13" s="39">
        <f>VALUE(L13)</f>
        <v>60315</v>
      </c>
    </row>
    <row r="14" spans="2:13" x14ac:dyDescent="0.25">
      <c r="K14" s="30" t="s">
        <v>39</v>
      </c>
      <c r="L14" s="31" t="str">
        <f>TEXT(VLOOKUP(K14,data1,Model!$D$11+1,FALSE),INDEX(Data!$D$39:$J$39,Model!$D$11))</f>
        <v>59.811</v>
      </c>
      <c r="M14" s="38">
        <f>VALUE(L14)</f>
        <v>59811</v>
      </c>
    </row>
    <row r="15" spans="2:13" x14ac:dyDescent="0.25">
      <c r="I15" s="52" t="s">
        <v>89</v>
      </c>
      <c r="J15" s="52"/>
      <c r="K15" s="30" t="s">
        <v>47</v>
      </c>
      <c r="L15" s="31" t="str">
        <f>TEXT(VLOOKUP(K15,data1,Model!$D$11+1,FALSE),INDEX(Data!$D$39:$J$39,Model!$D$11))</f>
        <v>59.612</v>
      </c>
      <c r="M15" s="38">
        <f>VALUE(L15)</f>
        <v>59612</v>
      </c>
    </row>
    <row r="16" spans="2:13" x14ac:dyDescent="0.25">
      <c r="I16" s="52"/>
      <c r="J16" s="52"/>
      <c r="K16" s="30" t="s">
        <v>40</v>
      </c>
      <c r="L16" s="31" t="str">
        <f>TEXT(VLOOKUP(K16,data1,Model!$D$11+1,FALSE),INDEX(Data!$D$39:$J$39,Model!$D$11))</f>
        <v>58.918</v>
      </c>
      <c r="M16" s="38">
        <f>VALUE(L16)</f>
        <v>58918</v>
      </c>
    </row>
    <row r="17" spans="2:13" x14ac:dyDescent="0.25">
      <c r="I17" s="3"/>
      <c r="J17" s="46" t="str">
        <f ca="1">Model!C2</f>
        <v>&lt;45.000</v>
      </c>
      <c r="K17" s="30" t="s">
        <v>51</v>
      </c>
      <c r="L17" s="31" t="str">
        <f>TEXT(VLOOKUP(K17,data1,Model!$D$11+1,FALSE),INDEX(Data!$D$39:$J$39,Model!$D$11))</f>
        <v>58.814</v>
      </c>
      <c r="M17" s="38">
        <f>VALUE(L17)</f>
        <v>58814</v>
      </c>
    </row>
    <row r="18" spans="2:13" x14ac:dyDescent="0.25">
      <c r="B18" s="47" t="s">
        <v>128</v>
      </c>
      <c r="C18" s="48"/>
      <c r="I18" s="4"/>
      <c r="J18" s="46" t="str">
        <f ca="1">Model!C3</f>
        <v>45.000-60.000</v>
      </c>
      <c r="K18" s="30" t="s">
        <v>49</v>
      </c>
      <c r="L18" s="31" t="str">
        <f>TEXT(VLOOKUP(K18,data1,Model!$D$11+1,FALSE),INDEX(Data!$D$39:$J$39,Model!$D$11))</f>
        <v>57.469</v>
      </c>
      <c r="M18" s="38">
        <f>VALUE(L18)</f>
        <v>57469</v>
      </c>
    </row>
    <row r="19" spans="2:13" x14ac:dyDescent="0.25">
      <c r="B19" s="27" t="s">
        <v>124</v>
      </c>
      <c r="C19" s="28">
        <v>4284889</v>
      </c>
      <c r="I19" s="6"/>
      <c r="J19" s="46" t="str">
        <f ca="1">Model!C4</f>
        <v>60.000-75.000</v>
      </c>
      <c r="K19" s="30" t="s">
        <v>54</v>
      </c>
      <c r="L19" s="31" t="str">
        <f>TEXT(VLOOKUP(K19,data1,Model!$D$11+1,FALSE),INDEX(Data!$D$39:$J$39,Model!$D$11))</f>
        <v>57.450</v>
      </c>
      <c r="M19" s="38">
        <f>VALUE(L19)</f>
        <v>57450</v>
      </c>
    </row>
    <row r="20" spans="2:13" ht="15.75" x14ac:dyDescent="0.25">
      <c r="B20" s="27" t="s">
        <v>129</v>
      </c>
      <c r="C20" s="29">
        <v>75.709999999999994</v>
      </c>
      <c r="I20" s="5"/>
      <c r="J20" s="46" t="str">
        <f ca="1">Model!C5</f>
        <v>75.000-90.000</v>
      </c>
      <c r="K20" s="30" t="s">
        <v>48</v>
      </c>
      <c r="L20" s="31" t="str">
        <f>TEXT(VLOOKUP(K20,data1,Model!$D$11+1,FALSE),INDEX(Data!$D$39:$J$39,Model!$D$11))</f>
        <v>54.929</v>
      </c>
      <c r="M20" s="38">
        <f>VALUE(L20)</f>
        <v>54929</v>
      </c>
    </row>
    <row r="21" spans="2:13" x14ac:dyDescent="0.25">
      <c r="B21" s="27" t="s">
        <v>125</v>
      </c>
      <c r="C21" s="28">
        <v>6756</v>
      </c>
      <c r="I21" s="7"/>
      <c r="J21" s="46" t="str">
        <f ca="1">Model!C6</f>
        <v>&gt;90.000</v>
      </c>
      <c r="K21" s="30" t="s">
        <v>38</v>
      </c>
      <c r="L21" s="31" t="str">
        <f>TEXT(VLOOKUP(K21,data1,Model!$D$11+1,FALSE),INDEX(Data!$D$39:$J$39,Model!$D$11))</f>
        <v>53.946</v>
      </c>
      <c r="M21" s="38">
        <f>VALUE(L21)</f>
        <v>53946</v>
      </c>
    </row>
    <row r="22" spans="2:13" x14ac:dyDescent="0.25">
      <c r="B22" s="27" t="s">
        <v>126</v>
      </c>
      <c r="C22" s="28">
        <v>92492</v>
      </c>
      <c r="K22" s="30" t="s">
        <v>35</v>
      </c>
      <c r="L22" s="31" t="str">
        <f>TEXT(VLOOKUP(K22,data1,Model!$D$11+1,FALSE),INDEX(Data!$D$39:$J$39,Model!$D$11))</f>
        <v>52.202</v>
      </c>
      <c r="M22" s="38">
        <f>VALUE(L22)</f>
        <v>52202</v>
      </c>
    </row>
    <row r="23" spans="2:13" x14ac:dyDescent="0.25">
      <c r="B23" s="27" t="s">
        <v>131</v>
      </c>
      <c r="C23" s="28">
        <v>73277</v>
      </c>
      <c r="K23" s="30" t="s">
        <v>41</v>
      </c>
      <c r="L23" s="31" t="str">
        <f>TEXT(VLOOKUP(K23,data1,Model!$D$11+1,FALSE),INDEX(Data!$D$39:$J$39,Model!$D$11))</f>
        <v>48.966</v>
      </c>
      <c r="M23" s="38">
        <f>VALUE(L23)</f>
        <v>48966</v>
      </c>
    </row>
    <row r="24" spans="2:13" x14ac:dyDescent="0.25">
      <c r="B24" s="42" t="s">
        <v>130</v>
      </c>
      <c r="C24" s="43">
        <v>4703</v>
      </c>
      <c r="K24" s="30" t="s">
        <v>36</v>
      </c>
      <c r="L24" s="31" t="str">
        <f>TEXT(VLOOKUP(K24,data1,Model!$D$11+1,FALSE),INDEX(Data!$D$39:$J$39,Model!$D$11))</f>
        <v>44.338</v>
      </c>
      <c r="M24" s="38">
        <f>VALUE(L24)</f>
        <v>44338</v>
      </c>
    </row>
    <row r="25" spans="2:13" x14ac:dyDescent="0.25">
      <c r="B25" s="49" t="s">
        <v>127</v>
      </c>
      <c r="C25" s="50">
        <v>0.189</v>
      </c>
      <c r="K25" s="30" t="s">
        <v>45</v>
      </c>
      <c r="L25" s="31" t="str">
        <f>TEXT(VLOOKUP(K25,data1,Model!$D$11+1,FALSE),INDEX(Data!$D$39:$J$39,Model!$D$11))</f>
        <v>44.105</v>
      </c>
      <c r="M25" s="38">
        <f>VALUE(L25)</f>
        <v>44105</v>
      </c>
    </row>
    <row r="26" spans="2:13" x14ac:dyDescent="0.25">
      <c r="K26" s="32" t="s">
        <v>44</v>
      </c>
      <c r="L26" s="33" t="str">
        <f>TEXT(VLOOKUP(K26,data1,Model!$D$11+1,FALSE),INDEX(Data!$D$39:$J$39,Model!$D$11))</f>
        <v>42.761</v>
      </c>
      <c r="M26" s="39">
        <f>VALUE(L26)</f>
        <v>42761</v>
      </c>
    </row>
    <row r="27" spans="2:13" x14ac:dyDescent="0.25">
      <c r="B27" s="44" t="s">
        <v>98</v>
      </c>
      <c r="C27" s="45"/>
      <c r="D27" s="45"/>
      <c r="E27" s="45"/>
      <c r="F27" s="45"/>
      <c r="G27" s="25"/>
      <c r="K27" s="30" t="s">
        <v>50</v>
      </c>
      <c r="L27" s="31" t="str">
        <f>TEXT(VLOOKUP(K27,data1,Model!$D$11+1,FALSE),INDEX(Data!$D$39:$J$39,Model!$D$11))</f>
        <v>40.224</v>
      </c>
      <c r="M27" s="38">
        <f>VALUE(L27)</f>
        <v>40224</v>
      </c>
    </row>
    <row r="28" spans="2:13" x14ac:dyDescent="0.25">
      <c r="B28" s="41" t="str">
        <f>INDEX(Data!D24:J24,Model!$D$11)</f>
        <v>DZS - Bruto domaći proizvod za RH te prostorne jedinice za statistiku 2. i 3. razine</v>
      </c>
      <c r="K28" s="34" t="s">
        <v>46</v>
      </c>
      <c r="L28" s="35" t="str">
        <f>TEXT(VLOOKUP(K28,data1,Model!$D$11+1,FALSE),INDEX(Data!$D$39:$J$39,Model!$D$11))</f>
        <v>39.030</v>
      </c>
      <c r="M28" s="40">
        <f>VALUE(L28)</f>
        <v>39030</v>
      </c>
    </row>
    <row r="29" spans="2:13" x14ac:dyDescent="0.25">
      <c r="B29" s="41" t="str">
        <f>INDEX(Data!D25:J25,Model!$D$11)</f>
        <v>Podaci za 2010. godinu</v>
      </c>
    </row>
    <row r="30" spans="2:13" ht="15.75" thickBot="1" x14ac:dyDescent="0.3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2:13" x14ac:dyDescent="0.25">
      <c r="L31" s="54" t="s">
        <v>111</v>
      </c>
      <c r="M31" s="54"/>
    </row>
  </sheetData>
  <sortState ref="K8:M28">
    <sortCondition descending="1" ref="M8:M28"/>
  </sortState>
  <mergeCells count="3">
    <mergeCell ref="I15:J16"/>
    <mergeCell ref="L7:M7"/>
    <mergeCell ref="L31:M31"/>
  </mergeCells>
  <conditionalFormatting sqref="K8:L28">
    <cfRule type="expression" dxfId="0" priority="4">
      <formula>$L8=MAX($L$8:$L$28)</formula>
    </cfRule>
  </conditionalFormatting>
  <conditionalFormatting sqref="M8:M28">
    <cfRule type="dataBar" priority="2">
      <dataBar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{63E45E14-141A-4311-9F84-78D7B24916FC}</x14:id>
        </ext>
      </extLst>
    </cfRule>
  </conditionalFormatting>
  <hyperlinks>
    <hyperlink ref="L31" r:id="rId1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6" orientation="landscape" horizontalDpi="4294967292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Drop Down 2">
              <controlPr defaultSize="0" autoLine="0" autoPict="0" macro="[0]!DefColorCodes">
                <anchor moveWithCells="1">
                  <from>
                    <xdr:col>1</xdr:col>
                    <xdr:colOff>0</xdr:colOff>
                    <xdr:row>5</xdr:row>
                    <xdr:rowOff>85725</xdr:rowOff>
                  </from>
                  <to>
                    <xdr:col>2</xdr:col>
                    <xdr:colOff>371475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E45E14-141A-4311-9F84-78D7B24916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M8:M28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B1:I22"/>
  <sheetViews>
    <sheetView workbookViewId="0">
      <selection activeCell="D11" sqref="D11"/>
    </sheetView>
  </sheetViews>
  <sheetFormatPr defaultRowHeight="15" x14ac:dyDescent="0.25"/>
  <cols>
    <col min="2" max="2" width="3.85546875" customWidth="1"/>
    <col min="3" max="3" width="10.85546875" bestFit="1" customWidth="1"/>
    <col min="4" max="4" width="9" customWidth="1"/>
    <col min="8" max="8" width="32.42578125" bestFit="1" customWidth="1"/>
  </cols>
  <sheetData>
    <row r="1" spans="2:9" x14ac:dyDescent="0.25">
      <c r="H1" s="1" t="s">
        <v>55</v>
      </c>
      <c r="I1" s="1" t="s">
        <v>32</v>
      </c>
    </row>
    <row r="2" spans="2:9" x14ac:dyDescent="0.25">
      <c r="B2" s="3"/>
      <c r="C2" t="str">
        <f t="array" aca="1" ref="C2:C6" ca="1">OFFSET(Data!C26,0,Model!D11,5)</f>
        <v>&lt;45.000</v>
      </c>
      <c r="E2" s="18">
        <f t="array" aca="1" ref="E2:E6" ca="1">OFFSET(Data!C33,0,Model!D11,5)</f>
        <v>0</v>
      </c>
      <c r="F2" t="s">
        <v>0</v>
      </c>
      <c r="H2" t="s">
        <v>11</v>
      </c>
      <c r="I2" s="2">
        <f t="array" aca="1" ref="I2:I22" ca="1">OFFSET(Data!C1,1,Model!D11,21,1)</f>
        <v>52202</v>
      </c>
    </row>
    <row r="3" spans="2:9" x14ac:dyDescent="0.25">
      <c r="B3" s="4"/>
      <c r="C3" t="str">
        <f ca="1"/>
        <v>45.000-60.000</v>
      </c>
      <c r="E3" s="18">
        <f ca="1"/>
        <v>45000</v>
      </c>
      <c r="F3" t="s">
        <v>1</v>
      </c>
      <c r="H3" t="s">
        <v>18</v>
      </c>
      <c r="I3" s="2">
        <f ca="1"/>
        <v>44338</v>
      </c>
    </row>
    <row r="4" spans="2:9" x14ac:dyDescent="0.25">
      <c r="B4" s="6"/>
      <c r="C4" t="str">
        <f ca="1"/>
        <v>60.000-75.000</v>
      </c>
      <c r="E4" s="18">
        <f ca="1"/>
        <v>60000</v>
      </c>
      <c r="F4" t="s">
        <v>2</v>
      </c>
      <c r="H4" t="s">
        <v>19</v>
      </c>
      <c r="I4" s="2">
        <f ca="1"/>
        <v>60924</v>
      </c>
    </row>
    <row r="5" spans="2:9" x14ac:dyDescent="0.25">
      <c r="B5" s="5"/>
      <c r="C5" t="str">
        <f ca="1"/>
        <v>75.000-90.000</v>
      </c>
      <c r="E5" s="18">
        <f ca="1"/>
        <v>75000</v>
      </c>
      <c r="F5" t="s">
        <v>3</v>
      </c>
      <c r="H5" t="s">
        <v>12</v>
      </c>
      <c r="I5" s="2">
        <f ca="1"/>
        <v>53946</v>
      </c>
    </row>
    <row r="6" spans="2:9" x14ac:dyDescent="0.25">
      <c r="B6" s="7"/>
      <c r="C6" t="str">
        <f ca="1"/>
        <v>&gt;90.000</v>
      </c>
      <c r="E6" s="18">
        <f ca="1"/>
        <v>90000</v>
      </c>
      <c r="F6" t="s">
        <v>4</v>
      </c>
      <c r="H6" t="s">
        <v>13</v>
      </c>
      <c r="I6" s="2">
        <f ca="1"/>
        <v>59811</v>
      </c>
    </row>
    <row r="7" spans="2:9" x14ac:dyDescent="0.25">
      <c r="H7" t="s">
        <v>20</v>
      </c>
      <c r="I7" s="2">
        <f ca="1"/>
        <v>58918</v>
      </c>
    </row>
    <row r="8" spans="2:9" x14ac:dyDescent="0.25">
      <c r="C8" t="s">
        <v>5</v>
      </c>
      <c r="D8" t="s">
        <v>17</v>
      </c>
      <c r="E8" t="s">
        <v>6</v>
      </c>
      <c r="H8" t="s">
        <v>21</v>
      </c>
      <c r="I8" s="2">
        <f ca="1"/>
        <v>48966</v>
      </c>
    </row>
    <row r="9" spans="2:9" x14ac:dyDescent="0.25">
      <c r="C9" t="s">
        <v>7</v>
      </c>
      <c r="D9">
        <f ca="1">VLOOKUP(actReg,RegData,2,FALSE)</f>
        <v>135853</v>
      </c>
      <c r="E9" t="s">
        <v>82</v>
      </c>
      <c r="H9" t="s">
        <v>22</v>
      </c>
      <c r="I9" s="2">
        <f ca="1"/>
        <v>89935</v>
      </c>
    </row>
    <row r="10" spans="2:9" x14ac:dyDescent="0.25">
      <c r="C10" t="s">
        <v>8</v>
      </c>
      <c r="D10" t="str">
        <f ca="1">VLOOKUP(actRegValue,cls_Values,2,TRUE)</f>
        <v>cls_5</v>
      </c>
      <c r="E10" t="s">
        <v>81</v>
      </c>
      <c r="H10" t="s">
        <v>23</v>
      </c>
      <c r="I10" s="2">
        <f ca="1"/>
        <v>60315</v>
      </c>
    </row>
    <row r="11" spans="2:9" x14ac:dyDescent="0.25">
      <c r="C11" t="s">
        <v>83</v>
      </c>
      <c r="D11">
        <v>5</v>
      </c>
      <c r="E11" t="s">
        <v>112</v>
      </c>
      <c r="H11" t="s">
        <v>24</v>
      </c>
      <c r="I11" s="2">
        <f ca="1"/>
        <v>42761</v>
      </c>
    </row>
    <row r="12" spans="2:9" x14ac:dyDescent="0.25">
      <c r="H12" t="s">
        <v>25</v>
      </c>
      <c r="I12" s="2">
        <f ca="1"/>
        <v>44105</v>
      </c>
    </row>
    <row r="13" spans="2:9" x14ac:dyDescent="0.25">
      <c r="H13" t="s">
        <v>26</v>
      </c>
      <c r="I13" s="2">
        <f ca="1"/>
        <v>39030</v>
      </c>
    </row>
    <row r="14" spans="2:9" x14ac:dyDescent="0.25">
      <c r="H14" t="s">
        <v>14</v>
      </c>
      <c r="I14" s="2">
        <f ca="1"/>
        <v>59612</v>
      </c>
    </row>
    <row r="15" spans="2:9" x14ac:dyDescent="0.25">
      <c r="H15" t="s">
        <v>27</v>
      </c>
      <c r="I15" s="2">
        <f ca="1"/>
        <v>54929</v>
      </c>
    </row>
    <row r="16" spans="2:9" x14ac:dyDescent="0.25">
      <c r="H16" t="s">
        <v>28</v>
      </c>
      <c r="I16" s="2">
        <f ca="1"/>
        <v>57469</v>
      </c>
    </row>
    <row r="17" spans="8:9" x14ac:dyDescent="0.25">
      <c r="H17" t="s">
        <v>29</v>
      </c>
      <c r="I17" s="2">
        <f ca="1"/>
        <v>40224</v>
      </c>
    </row>
    <row r="18" spans="8:9" x14ac:dyDescent="0.25">
      <c r="H18" t="s">
        <v>30</v>
      </c>
      <c r="I18" s="2">
        <f ca="1"/>
        <v>58814</v>
      </c>
    </row>
    <row r="19" spans="8:9" x14ac:dyDescent="0.25">
      <c r="H19" t="s">
        <v>15</v>
      </c>
      <c r="I19" s="2">
        <f ca="1"/>
        <v>93968</v>
      </c>
    </row>
    <row r="20" spans="8:9" x14ac:dyDescent="0.25">
      <c r="H20" t="s">
        <v>31</v>
      </c>
      <c r="I20" s="2">
        <f ca="1"/>
        <v>76189</v>
      </c>
    </row>
    <row r="21" spans="8:9" x14ac:dyDescent="0.25">
      <c r="H21" t="s">
        <v>16</v>
      </c>
      <c r="I21" s="2">
        <f ca="1"/>
        <v>57450</v>
      </c>
    </row>
    <row r="22" spans="8:9" x14ac:dyDescent="0.25">
      <c r="H22" t="s">
        <v>17</v>
      </c>
      <c r="I22" s="2">
        <f ca="1"/>
        <v>135853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L39"/>
  <sheetViews>
    <sheetView workbookViewId="0">
      <selection activeCell="C13" sqref="C13"/>
    </sheetView>
  </sheetViews>
  <sheetFormatPr defaultRowHeight="15" x14ac:dyDescent="0.25"/>
  <cols>
    <col min="1" max="1" width="6.140625" customWidth="1"/>
    <col min="2" max="2" width="6" hidden="1" customWidth="1"/>
    <col min="3" max="3" width="23.42578125" bestFit="1" customWidth="1"/>
    <col min="4" max="9" width="11.7109375" customWidth="1"/>
    <col min="10" max="10" width="12.140625" customWidth="1"/>
  </cols>
  <sheetData>
    <row r="1" spans="1:12" ht="60" x14ac:dyDescent="0.25">
      <c r="A1" s="12" t="s">
        <v>57</v>
      </c>
      <c r="B1" s="12" t="s">
        <v>55</v>
      </c>
      <c r="C1" s="11" t="s">
        <v>10</v>
      </c>
      <c r="D1" s="12" t="s">
        <v>33</v>
      </c>
      <c r="E1" s="12" t="s">
        <v>56</v>
      </c>
      <c r="F1" s="12" t="s">
        <v>34</v>
      </c>
      <c r="G1" s="13" t="s">
        <v>58</v>
      </c>
      <c r="H1" s="13" t="s">
        <v>99</v>
      </c>
      <c r="I1" s="13" t="s">
        <v>59</v>
      </c>
      <c r="J1" s="13" t="s">
        <v>61</v>
      </c>
      <c r="L1" s="13" t="s">
        <v>78</v>
      </c>
    </row>
    <row r="2" spans="1:12" x14ac:dyDescent="0.25">
      <c r="A2" s="10">
        <v>1</v>
      </c>
      <c r="B2" t="s">
        <v>11</v>
      </c>
      <c r="C2" s="8" t="s">
        <v>35</v>
      </c>
      <c r="D2" s="9">
        <v>317606</v>
      </c>
      <c r="E2" s="8">
        <v>103.79</v>
      </c>
      <c r="F2" s="9">
        <v>694</v>
      </c>
      <c r="G2" s="2">
        <v>5790</v>
      </c>
      <c r="H2" s="2">
        <v>52202</v>
      </c>
      <c r="I2" s="2">
        <v>4659</v>
      </c>
      <c r="J2" s="14">
        <v>0.19700000000000001</v>
      </c>
      <c r="L2" s="15" t="s">
        <v>33</v>
      </c>
    </row>
    <row r="3" spans="1:12" x14ac:dyDescent="0.25">
      <c r="A3" s="10">
        <v>2</v>
      </c>
      <c r="B3" t="s">
        <v>18</v>
      </c>
      <c r="C3" s="8" t="s">
        <v>36</v>
      </c>
      <c r="D3" s="9">
        <v>132892</v>
      </c>
      <c r="E3" s="8">
        <v>108.13</v>
      </c>
      <c r="F3" s="9">
        <v>423</v>
      </c>
      <c r="G3" s="2">
        <v>1490</v>
      </c>
      <c r="H3" s="2">
        <v>44338</v>
      </c>
      <c r="I3" s="2">
        <v>3980</v>
      </c>
      <c r="J3" s="14">
        <v>0.19800000000000001</v>
      </c>
      <c r="L3" s="15" t="s">
        <v>56</v>
      </c>
    </row>
    <row r="4" spans="1:12" x14ac:dyDescent="0.25">
      <c r="A4" s="10">
        <v>3</v>
      </c>
      <c r="B4" t="s">
        <v>19</v>
      </c>
      <c r="C4" s="8" t="s">
        <v>37</v>
      </c>
      <c r="D4" s="9">
        <v>172439</v>
      </c>
      <c r="E4" s="8">
        <v>38.590000000000003</v>
      </c>
      <c r="F4" s="9">
        <v>456</v>
      </c>
      <c r="G4" s="2">
        <v>1546</v>
      </c>
      <c r="H4" s="2">
        <v>60924</v>
      </c>
      <c r="I4" s="2">
        <v>4163</v>
      </c>
      <c r="J4" s="14">
        <v>0.32700000000000001</v>
      </c>
      <c r="L4" s="15" t="s">
        <v>34</v>
      </c>
    </row>
    <row r="5" spans="1:12" x14ac:dyDescent="0.25">
      <c r="A5" s="10">
        <v>4</v>
      </c>
      <c r="B5" t="s">
        <v>12</v>
      </c>
      <c r="C5" s="8" t="s">
        <v>38</v>
      </c>
      <c r="D5" s="9">
        <v>128899</v>
      </c>
      <c r="E5" s="8">
        <v>35.549999999999997</v>
      </c>
      <c r="F5" s="9">
        <v>649</v>
      </c>
      <c r="G5" s="2">
        <v>1745</v>
      </c>
      <c r="H5" s="2">
        <v>53946</v>
      </c>
      <c r="I5" s="2">
        <v>4295</v>
      </c>
      <c r="J5" s="14">
        <v>0.245</v>
      </c>
      <c r="L5" s="16" t="s">
        <v>58</v>
      </c>
    </row>
    <row r="6" spans="1:12" x14ac:dyDescent="0.25">
      <c r="A6" s="10">
        <v>5</v>
      </c>
      <c r="B6" t="s">
        <v>13</v>
      </c>
      <c r="C6" s="8" t="s">
        <v>39</v>
      </c>
      <c r="D6" s="9">
        <v>175951</v>
      </c>
      <c r="E6" s="8">
        <v>139.41999999999999</v>
      </c>
      <c r="F6" s="9">
        <v>302</v>
      </c>
      <c r="G6" s="2">
        <v>2616</v>
      </c>
      <c r="H6" s="2">
        <v>59811</v>
      </c>
      <c r="I6" s="2">
        <v>3699</v>
      </c>
      <c r="J6" s="14">
        <v>0.14599999999999999</v>
      </c>
      <c r="L6" t="s">
        <v>123</v>
      </c>
    </row>
    <row r="7" spans="1:12" x14ac:dyDescent="0.25">
      <c r="A7" s="10">
        <v>6</v>
      </c>
      <c r="B7" t="s">
        <v>20</v>
      </c>
      <c r="C7" s="8" t="s">
        <v>40</v>
      </c>
      <c r="D7" s="9">
        <v>115584</v>
      </c>
      <c r="E7" s="8">
        <v>66.12</v>
      </c>
      <c r="F7" s="9">
        <v>264</v>
      </c>
      <c r="G7" s="2">
        <v>1271</v>
      </c>
      <c r="H7" s="2">
        <v>58918</v>
      </c>
      <c r="I7" s="2">
        <v>4534</v>
      </c>
      <c r="J7" s="14">
        <v>0.187</v>
      </c>
      <c r="L7" s="16" t="s">
        <v>122</v>
      </c>
    </row>
    <row r="8" spans="1:12" x14ac:dyDescent="0.25">
      <c r="A8" s="10">
        <v>7</v>
      </c>
      <c r="B8" t="s">
        <v>21</v>
      </c>
      <c r="C8" s="8" t="s">
        <v>41</v>
      </c>
      <c r="D8" s="9">
        <v>119764</v>
      </c>
      <c r="E8" s="8">
        <v>45.37</v>
      </c>
      <c r="F8" s="9">
        <v>323</v>
      </c>
      <c r="G8" s="2">
        <v>1382</v>
      </c>
      <c r="H8" s="2">
        <v>48966</v>
      </c>
      <c r="I8" s="2">
        <v>3500</v>
      </c>
      <c r="J8" s="14">
        <v>0.26800000000000002</v>
      </c>
      <c r="L8" s="16" t="s">
        <v>60</v>
      </c>
    </row>
    <row r="9" spans="1:12" x14ac:dyDescent="0.25">
      <c r="A9" s="10">
        <v>8</v>
      </c>
      <c r="B9" t="s">
        <v>22</v>
      </c>
      <c r="C9" s="8" t="s">
        <v>42</v>
      </c>
      <c r="D9" s="9">
        <v>296195</v>
      </c>
      <c r="E9" s="8">
        <v>82.55</v>
      </c>
      <c r="F9" s="9">
        <v>510</v>
      </c>
      <c r="G9" s="2">
        <v>8328</v>
      </c>
      <c r="H9" s="2">
        <v>89935</v>
      </c>
      <c r="I9" s="2">
        <v>4358</v>
      </c>
      <c r="J9" s="14">
        <v>0.14000000000000001</v>
      </c>
    </row>
    <row r="10" spans="1:12" x14ac:dyDescent="0.25">
      <c r="A10" s="10">
        <v>9</v>
      </c>
      <c r="B10" t="s">
        <v>23</v>
      </c>
      <c r="C10" s="8" t="s">
        <v>43</v>
      </c>
      <c r="D10" s="9">
        <v>50927</v>
      </c>
      <c r="E10" s="8">
        <v>9.51</v>
      </c>
      <c r="F10" s="9">
        <v>255</v>
      </c>
      <c r="G10">
        <v>540</v>
      </c>
      <c r="H10" s="2">
        <v>60315</v>
      </c>
      <c r="I10" s="2">
        <v>3666</v>
      </c>
      <c r="J10" s="14">
        <v>0.184</v>
      </c>
    </row>
    <row r="11" spans="1:12" x14ac:dyDescent="0.25">
      <c r="A11" s="10">
        <v>10</v>
      </c>
      <c r="B11" t="s">
        <v>24</v>
      </c>
      <c r="C11" s="8" t="s">
        <v>44</v>
      </c>
      <c r="D11" s="9">
        <v>84836</v>
      </c>
      <c r="E11" s="8">
        <v>41.92</v>
      </c>
      <c r="F11" s="9">
        <v>188</v>
      </c>
      <c r="G11">
        <v>763</v>
      </c>
      <c r="H11" s="2">
        <v>42761</v>
      </c>
      <c r="I11" s="2">
        <v>3446</v>
      </c>
      <c r="J11" s="14">
        <v>0.33400000000000002</v>
      </c>
    </row>
    <row r="12" spans="1:12" x14ac:dyDescent="0.25">
      <c r="A12" s="10">
        <v>11</v>
      </c>
      <c r="B12" t="s">
        <v>25</v>
      </c>
      <c r="C12" s="8" t="s">
        <v>45</v>
      </c>
      <c r="D12" s="9">
        <v>78034</v>
      </c>
      <c r="E12" s="8">
        <v>42.81</v>
      </c>
      <c r="F12" s="9">
        <v>277</v>
      </c>
      <c r="G12">
        <v>581</v>
      </c>
      <c r="H12" s="2">
        <v>44105</v>
      </c>
      <c r="I12" s="2">
        <v>3653</v>
      </c>
      <c r="J12" s="14">
        <v>0.26300000000000001</v>
      </c>
    </row>
    <row r="13" spans="1:12" x14ac:dyDescent="0.25">
      <c r="A13" s="10">
        <v>12</v>
      </c>
      <c r="B13" t="s">
        <v>26</v>
      </c>
      <c r="C13" s="8" t="s">
        <v>46</v>
      </c>
      <c r="D13" s="9">
        <v>158575</v>
      </c>
      <c r="E13" s="8">
        <v>78.12</v>
      </c>
      <c r="F13" s="9">
        <v>185</v>
      </c>
      <c r="G13" s="2">
        <v>1422</v>
      </c>
      <c r="H13" s="2">
        <v>39030</v>
      </c>
      <c r="I13" s="2">
        <v>4141</v>
      </c>
      <c r="J13" s="14">
        <v>0.32600000000000001</v>
      </c>
    </row>
    <row r="14" spans="1:12" x14ac:dyDescent="0.25">
      <c r="A14" s="10">
        <v>13</v>
      </c>
      <c r="B14" t="s">
        <v>14</v>
      </c>
      <c r="C14" s="8" t="s">
        <v>47</v>
      </c>
      <c r="D14" s="9">
        <v>170017</v>
      </c>
      <c r="E14" s="8">
        <v>46.63</v>
      </c>
      <c r="F14" s="9">
        <v>229</v>
      </c>
      <c r="G14" s="2">
        <v>2857</v>
      </c>
      <c r="H14" s="2">
        <v>59612</v>
      </c>
      <c r="I14" s="2">
        <v>4444</v>
      </c>
      <c r="J14" s="14">
        <v>0.18099999999999999</v>
      </c>
    </row>
    <row r="15" spans="1:12" x14ac:dyDescent="0.25">
      <c r="A15" s="10">
        <v>14</v>
      </c>
      <c r="B15" t="s">
        <v>27</v>
      </c>
      <c r="C15" s="8" t="s">
        <v>48</v>
      </c>
      <c r="D15" s="9">
        <v>305032</v>
      </c>
      <c r="E15" s="8">
        <v>73.41</v>
      </c>
      <c r="F15" s="9">
        <v>263</v>
      </c>
      <c r="G15" s="2">
        <v>3901</v>
      </c>
      <c r="H15" s="2">
        <v>54929</v>
      </c>
      <c r="I15" s="2">
        <v>3864</v>
      </c>
      <c r="J15" s="14">
        <v>0.28199999999999997</v>
      </c>
    </row>
    <row r="16" spans="1:12" x14ac:dyDescent="0.25">
      <c r="A16" s="10">
        <v>15</v>
      </c>
      <c r="B16" t="s">
        <v>28</v>
      </c>
      <c r="C16" s="8" t="s">
        <v>49</v>
      </c>
      <c r="D16" s="9">
        <v>109375</v>
      </c>
      <c r="E16" s="8">
        <v>36.65</v>
      </c>
      <c r="F16" s="9">
        <v>199</v>
      </c>
      <c r="G16" s="2">
        <v>1826</v>
      </c>
      <c r="H16" s="2">
        <v>57469</v>
      </c>
      <c r="I16" s="2">
        <v>3957</v>
      </c>
      <c r="J16" s="14">
        <v>0.21199999999999999</v>
      </c>
    </row>
    <row r="17" spans="1:10" x14ac:dyDescent="0.25">
      <c r="A17" s="10">
        <v>16</v>
      </c>
      <c r="B17" t="s">
        <v>29</v>
      </c>
      <c r="C17" s="8" t="s">
        <v>50</v>
      </c>
      <c r="D17" s="9">
        <v>179521</v>
      </c>
      <c r="E17" s="8">
        <v>73.150000000000006</v>
      </c>
      <c r="F17" s="9">
        <v>85</v>
      </c>
      <c r="G17" s="2">
        <v>1408</v>
      </c>
      <c r="H17" s="2">
        <v>40224</v>
      </c>
      <c r="I17" s="2">
        <v>3637</v>
      </c>
      <c r="J17" s="14">
        <v>0.32</v>
      </c>
    </row>
    <row r="18" spans="1:10" x14ac:dyDescent="0.25">
      <c r="A18" s="10">
        <v>17</v>
      </c>
      <c r="B18" t="s">
        <v>30</v>
      </c>
      <c r="C18" s="8" t="s">
        <v>51</v>
      </c>
      <c r="D18" s="9">
        <v>454798</v>
      </c>
      <c r="E18" s="8">
        <v>100.18</v>
      </c>
      <c r="F18" s="9">
        <v>368</v>
      </c>
      <c r="G18" s="2">
        <v>9831</v>
      </c>
      <c r="H18" s="2">
        <v>58814</v>
      </c>
      <c r="I18" s="2">
        <v>4044</v>
      </c>
      <c r="J18" s="14">
        <v>0.23200000000000001</v>
      </c>
    </row>
    <row r="19" spans="1:10" x14ac:dyDescent="0.25">
      <c r="A19" s="10">
        <v>18</v>
      </c>
      <c r="B19" t="s">
        <v>15</v>
      </c>
      <c r="C19" s="8" t="s">
        <v>52</v>
      </c>
      <c r="D19" s="9">
        <v>208055</v>
      </c>
      <c r="E19" s="8">
        <v>73.959999999999994</v>
      </c>
      <c r="F19" s="9">
        <v>655</v>
      </c>
      <c r="G19" s="2">
        <v>8909</v>
      </c>
      <c r="H19" s="2">
        <v>93968</v>
      </c>
      <c r="I19" s="2">
        <v>4671</v>
      </c>
      <c r="J19" s="14">
        <v>8.8999999999999996E-2</v>
      </c>
    </row>
    <row r="20" spans="1:10" x14ac:dyDescent="0.25">
      <c r="A20" s="10">
        <v>19</v>
      </c>
      <c r="B20" t="s">
        <v>31</v>
      </c>
      <c r="C20" s="8" t="s">
        <v>53</v>
      </c>
      <c r="D20" s="9">
        <v>122568</v>
      </c>
      <c r="E20" s="8">
        <v>68.819999999999993</v>
      </c>
      <c r="F20" s="9">
        <v>230</v>
      </c>
      <c r="G20" s="2">
        <v>3070</v>
      </c>
      <c r="H20" s="2">
        <v>76189</v>
      </c>
      <c r="I20" s="2">
        <v>4367</v>
      </c>
      <c r="J20" s="14">
        <v>0.153</v>
      </c>
    </row>
    <row r="21" spans="1:10" x14ac:dyDescent="0.25">
      <c r="A21" s="10">
        <v>20</v>
      </c>
      <c r="B21" t="s">
        <v>16</v>
      </c>
      <c r="C21" s="8" t="s">
        <v>54</v>
      </c>
      <c r="D21" s="9">
        <v>113804</v>
      </c>
      <c r="E21" s="8">
        <v>156.11000000000001</v>
      </c>
      <c r="F21" s="9">
        <v>131</v>
      </c>
      <c r="G21" s="2">
        <v>2069</v>
      </c>
      <c r="H21" s="2">
        <v>57450</v>
      </c>
      <c r="I21" s="2">
        <v>3769</v>
      </c>
      <c r="J21" s="14">
        <v>0.16400000000000001</v>
      </c>
    </row>
    <row r="22" spans="1:10" x14ac:dyDescent="0.25">
      <c r="A22" s="10">
        <v>21</v>
      </c>
      <c r="B22" t="s">
        <v>17</v>
      </c>
      <c r="C22" s="8" t="s">
        <v>9</v>
      </c>
      <c r="D22" s="9">
        <v>790017</v>
      </c>
      <c r="E22" s="8">
        <v>1232.48</v>
      </c>
      <c r="F22" s="9">
        <v>70</v>
      </c>
      <c r="G22" s="2">
        <v>31147</v>
      </c>
      <c r="H22" s="2">
        <v>135853</v>
      </c>
      <c r="I22" s="2">
        <v>5522</v>
      </c>
      <c r="J22" s="14">
        <v>8.6999999999999994E-2</v>
      </c>
    </row>
    <row r="24" spans="1:10" x14ac:dyDescent="0.25">
      <c r="C24" s="17" t="s">
        <v>95</v>
      </c>
      <c r="D24" t="s">
        <v>107</v>
      </c>
      <c r="E24" t="s">
        <v>107</v>
      </c>
      <c r="F24" t="s">
        <v>107</v>
      </c>
      <c r="G24" t="s">
        <v>96</v>
      </c>
      <c r="H24" t="s">
        <v>105</v>
      </c>
      <c r="I24" t="s">
        <v>96</v>
      </c>
      <c r="J24" t="s">
        <v>97</v>
      </c>
    </row>
    <row r="25" spans="1:10" x14ac:dyDescent="0.25">
      <c r="D25" t="s">
        <v>108</v>
      </c>
      <c r="E25" t="s">
        <v>108</v>
      </c>
      <c r="F25" t="s">
        <v>108</v>
      </c>
      <c r="G25" t="s">
        <v>110</v>
      </c>
      <c r="H25" t="s">
        <v>104</v>
      </c>
      <c r="I25" t="s">
        <v>110</v>
      </c>
      <c r="J25" t="s">
        <v>109</v>
      </c>
    </row>
    <row r="26" spans="1:10" x14ac:dyDescent="0.25">
      <c r="C26" s="17" t="s">
        <v>79</v>
      </c>
      <c r="D26" t="s">
        <v>117</v>
      </c>
      <c r="E26" t="s">
        <v>118</v>
      </c>
      <c r="F26" t="s">
        <v>119</v>
      </c>
      <c r="G26" t="s">
        <v>120</v>
      </c>
      <c r="H26" t="s">
        <v>121</v>
      </c>
      <c r="I26" t="s">
        <v>87</v>
      </c>
      <c r="J26" t="s">
        <v>74</v>
      </c>
    </row>
    <row r="27" spans="1:10" x14ac:dyDescent="0.25">
      <c r="D27" t="s">
        <v>62</v>
      </c>
      <c r="E27" t="s">
        <v>65</v>
      </c>
      <c r="F27" t="s">
        <v>66</v>
      </c>
      <c r="G27" t="s">
        <v>113</v>
      </c>
      <c r="H27" t="s">
        <v>100</v>
      </c>
      <c r="I27" t="s">
        <v>70</v>
      </c>
      <c r="J27" t="s">
        <v>88</v>
      </c>
    </row>
    <row r="28" spans="1:10" x14ac:dyDescent="0.25">
      <c r="D28" t="s">
        <v>63</v>
      </c>
      <c r="E28" t="s">
        <v>85</v>
      </c>
      <c r="F28" t="s">
        <v>69</v>
      </c>
      <c r="G28" t="s">
        <v>114</v>
      </c>
      <c r="H28" t="s">
        <v>101</v>
      </c>
      <c r="I28" t="s">
        <v>71</v>
      </c>
      <c r="J28" t="s">
        <v>75</v>
      </c>
    </row>
    <row r="29" spans="1:10" x14ac:dyDescent="0.25">
      <c r="D29" t="s">
        <v>84</v>
      </c>
      <c r="E29" t="s">
        <v>66</v>
      </c>
      <c r="F29" t="s">
        <v>86</v>
      </c>
      <c r="G29" t="s">
        <v>115</v>
      </c>
      <c r="H29" t="s">
        <v>102</v>
      </c>
      <c r="I29" t="s">
        <v>72</v>
      </c>
      <c r="J29" t="s">
        <v>76</v>
      </c>
    </row>
    <row r="30" spans="1:10" x14ac:dyDescent="0.25">
      <c r="D30" t="s">
        <v>64</v>
      </c>
      <c r="E30" t="s">
        <v>67</v>
      </c>
      <c r="F30" t="s">
        <v>68</v>
      </c>
      <c r="G30" t="s">
        <v>116</v>
      </c>
      <c r="H30" t="s">
        <v>103</v>
      </c>
      <c r="I30" t="s">
        <v>73</v>
      </c>
      <c r="J30" t="s">
        <v>77</v>
      </c>
    </row>
    <row r="32" spans="1:10" x14ac:dyDescent="0.25">
      <c r="I32" s="2"/>
    </row>
    <row r="33" spans="3:10" x14ac:dyDescent="0.25">
      <c r="C33" t="s">
        <v>80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3:10" x14ac:dyDescent="0.25">
      <c r="D34">
        <v>100000</v>
      </c>
      <c r="E34">
        <v>25</v>
      </c>
      <c r="F34">
        <v>100</v>
      </c>
      <c r="G34">
        <v>2500</v>
      </c>
      <c r="H34">
        <v>45000</v>
      </c>
      <c r="I34">
        <v>4000</v>
      </c>
      <c r="J34">
        <v>0.1</v>
      </c>
    </row>
    <row r="35" spans="3:10" x14ac:dyDescent="0.25">
      <c r="D35">
        <v>200000</v>
      </c>
      <c r="E35">
        <v>50</v>
      </c>
      <c r="F35">
        <v>200</v>
      </c>
      <c r="G35">
        <v>5000</v>
      </c>
      <c r="H35">
        <v>60000</v>
      </c>
      <c r="I35">
        <v>4500</v>
      </c>
      <c r="J35">
        <v>0.2</v>
      </c>
    </row>
    <row r="36" spans="3:10" x14ac:dyDescent="0.25">
      <c r="D36">
        <v>300000</v>
      </c>
      <c r="E36">
        <v>100</v>
      </c>
      <c r="F36">
        <v>300</v>
      </c>
      <c r="G36">
        <v>7500</v>
      </c>
      <c r="H36">
        <v>75000</v>
      </c>
      <c r="I36">
        <v>5000</v>
      </c>
      <c r="J36">
        <v>0.25</v>
      </c>
    </row>
    <row r="37" spans="3:10" x14ac:dyDescent="0.25">
      <c r="D37">
        <v>500000</v>
      </c>
      <c r="E37">
        <v>200</v>
      </c>
      <c r="F37">
        <v>500</v>
      </c>
      <c r="G37">
        <v>10000</v>
      </c>
      <c r="H37">
        <v>90000</v>
      </c>
      <c r="I37">
        <v>5500</v>
      </c>
      <c r="J37">
        <v>0.3</v>
      </c>
    </row>
    <row r="39" spans="3:10" x14ac:dyDescent="0.25">
      <c r="C39" t="s">
        <v>90</v>
      </c>
      <c r="D39" t="s">
        <v>91</v>
      </c>
      <c r="E39" s="20" t="s">
        <v>93</v>
      </c>
      <c r="F39" t="s">
        <v>91</v>
      </c>
      <c r="G39" t="s">
        <v>91</v>
      </c>
      <c r="H39" t="s">
        <v>91</v>
      </c>
      <c r="I39" t="s">
        <v>91</v>
      </c>
      <c r="J39" s="20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Karta</vt:lpstr>
      <vt:lpstr>Model</vt:lpstr>
      <vt:lpstr>Data</vt:lpstr>
      <vt:lpstr>actReg</vt:lpstr>
      <vt:lpstr>actRegCode</vt:lpstr>
      <vt:lpstr>actRegValue</vt:lpstr>
      <vt:lpstr>cls_0</vt:lpstr>
      <vt:lpstr>cls_1</vt:lpstr>
      <vt:lpstr>cls_2</vt:lpstr>
      <vt:lpstr>cls_3</vt:lpstr>
      <vt:lpstr>cls_4</vt:lpstr>
      <vt:lpstr>cls_5</vt:lpstr>
      <vt:lpstr>cls_Values</vt:lpstr>
      <vt:lpstr>data</vt:lpstr>
      <vt:lpstr>data1</vt:lpstr>
      <vt:lpstr>Lista</vt:lpstr>
      <vt:lpstr>Karta!Print_Area</vt:lpstr>
      <vt:lpstr>RegData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Mladen Djuricic</dc:creator>
  <cp:lastModifiedBy>Mladen Djuricic</cp:lastModifiedBy>
  <cp:lastPrinted>2013-06-05T10:32:06Z</cp:lastPrinted>
  <dcterms:created xsi:type="dcterms:W3CDTF">2013-06-04T15:57:47Z</dcterms:created>
  <dcterms:modified xsi:type="dcterms:W3CDTF">2013-06-06T12:33:04Z</dcterms:modified>
</cp:coreProperties>
</file>